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 yWindow="105" windowWidth="19035" windowHeight="11760" activeTab="1"/>
  </bookViews>
  <sheets>
    <sheet name="Instructions" sheetId="3" r:id="rId1"/>
    <sheet name="3 Color Scale" sheetId="2" r:id="rId2"/>
  </sheets>
  <functionGroups builtInGroupCount="17"/>
  <definedNames>
    <definedName name="col">'3 Color Scale'!$C$4</definedName>
    <definedName name="longColor">#REF!</definedName>
    <definedName name="range">'3 Color Scale'!$C$3</definedName>
    <definedName name="RColorVectorCode">'3 Color Scale'!$D$8</definedName>
    <definedName name="rFormula">#REF!</definedName>
    <definedName name="steps">'3 Color Scale'!$C$2</definedName>
    <definedName name="Target">#REF!</definedName>
    <definedName name="tintshade">#REF!</definedName>
  </definedNames>
  <calcPr calcId="145621"/>
</workbook>
</file>

<file path=xl/calcChain.xml><?xml version="1.0" encoding="utf-8"?>
<calcChain xmlns="http://schemas.openxmlformats.org/spreadsheetml/2006/main">
  <c r="B13" i="2" l="1"/>
  <c r="B14" i="2" s="1"/>
  <c r="B15" i="2" s="1"/>
  <c r="B16" i="2" s="1"/>
  <c r="B17" i="2" s="1"/>
  <c r="B18" i="2" s="1"/>
  <c r="B19" i="2" s="1"/>
  <c r="B20" i="2" s="1"/>
  <c r="B21" i="2" s="1"/>
  <c r="B22" i="2" s="1"/>
  <c r="B23" i="2" s="1"/>
  <c r="B24" i="2" s="1"/>
  <c r="B25" i="2" s="1"/>
  <c r="B26" i="2" s="1"/>
  <c r="B27" i="2" s="1"/>
  <c r="B28" i="2" s="1"/>
  <c r="B29" i="2" s="1"/>
  <c r="B30" i="2" s="1"/>
  <c r="B31" i="2" s="1"/>
  <c r="B32" i="2" s="1"/>
  <c r="B33" i="2" s="1"/>
  <c r="B34" i="2" s="1"/>
  <c r="B35" i="2" s="1"/>
  <c r="B36" i="2" s="1"/>
  <c r="B37" i="2" s="1"/>
  <c r="B38" i="2" s="1"/>
  <c r="B39" i="2" s="1"/>
  <c r="B40" i="2" s="1"/>
  <c r="B41" i="2" s="1"/>
  <c r="B42" i="2" s="1"/>
  <c r="B43" i="2" s="1"/>
  <c r="B44" i="2" s="1"/>
  <c r="B45" i="2" s="1"/>
  <c r="B46" i="2" s="1"/>
  <c r="B47" i="2" s="1"/>
  <c r="B48" i="2" s="1"/>
  <c r="B49" i="2" s="1"/>
  <c r="B50" i="2" s="1"/>
  <c r="B51" i="2" s="1"/>
  <c r="B52" i="2" s="1"/>
  <c r="B53" i="2" s="1"/>
  <c r="B54" i="2" s="1"/>
  <c r="B55" i="2" s="1"/>
  <c r="B56" i="2" s="1"/>
  <c r="B57" i="2" s="1"/>
  <c r="B58" i="2" s="1"/>
  <c r="B59" i="2" s="1"/>
  <c r="B60" i="2" s="1"/>
  <c r="B61"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O110" i="2"/>
  <c r="N110" i="2"/>
  <c r="O109" i="2"/>
  <c r="N109" i="2"/>
  <c r="O108" i="2"/>
  <c r="N108" i="2"/>
  <c r="O107" i="2"/>
  <c r="N107" i="2"/>
  <c r="O106" i="2"/>
  <c r="N106" i="2"/>
  <c r="O105" i="2"/>
  <c r="N105" i="2"/>
  <c r="O104" i="2"/>
  <c r="N104" i="2"/>
  <c r="O103" i="2"/>
  <c r="N103" i="2"/>
  <c r="O102" i="2"/>
  <c r="N102" i="2"/>
  <c r="O101" i="2"/>
  <c r="N101" i="2"/>
  <c r="O100" i="2"/>
  <c r="N100" i="2"/>
  <c r="O99" i="2"/>
  <c r="N99" i="2"/>
  <c r="O98" i="2"/>
  <c r="N98" i="2"/>
  <c r="O97" i="2"/>
  <c r="N97" i="2"/>
  <c r="O96" i="2"/>
  <c r="N96" i="2"/>
  <c r="O95" i="2"/>
  <c r="N95" i="2"/>
  <c r="O94" i="2"/>
  <c r="N94" i="2"/>
  <c r="O93" i="2"/>
  <c r="N93" i="2"/>
  <c r="O92" i="2"/>
  <c r="N92" i="2"/>
  <c r="O91" i="2"/>
  <c r="N91" i="2"/>
  <c r="O90" i="2"/>
  <c r="N90" i="2"/>
  <c r="O89" i="2"/>
  <c r="N89" i="2"/>
  <c r="O88" i="2"/>
  <c r="N88" i="2"/>
  <c r="O87" i="2"/>
  <c r="N87" i="2"/>
  <c r="O86" i="2"/>
  <c r="N86" i="2"/>
  <c r="O85" i="2"/>
  <c r="N85" i="2"/>
  <c r="O84" i="2"/>
  <c r="N84" i="2"/>
  <c r="O83" i="2"/>
  <c r="N83" i="2"/>
  <c r="O82" i="2"/>
  <c r="N82" i="2"/>
  <c r="O81" i="2"/>
  <c r="N81" i="2"/>
  <c r="L110" i="2"/>
  <c r="K110" i="2"/>
  <c r="J110" i="2"/>
  <c r="I110" i="2"/>
  <c r="H110" i="2"/>
  <c r="G110" i="2"/>
  <c r="F110" i="2"/>
  <c r="E110" i="2"/>
  <c r="D110" i="2"/>
  <c r="L109" i="2"/>
  <c r="K109" i="2"/>
  <c r="J109" i="2"/>
  <c r="I109" i="2"/>
  <c r="H109" i="2"/>
  <c r="G109" i="2"/>
  <c r="F109" i="2"/>
  <c r="E109" i="2"/>
  <c r="D109" i="2"/>
  <c r="L108" i="2"/>
  <c r="K108" i="2"/>
  <c r="J108" i="2"/>
  <c r="I108" i="2"/>
  <c r="H108" i="2"/>
  <c r="G108" i="2"/>
  <c r="F108" i="2"/>
  <c r="E108" i="2"/>
  <c r="D108" i="2"/>
  <c r="L107" i="2"/>
  <c r="K107" i="2"/>
  <c r="J107" i="2"/>
  <c r="I107" i="2"/>
  <c r="H107" i="2"/>
  <c r="G107" i="2"/>
  <c r="F107" i="2"/>
  <c r="E107" i="2"/>
  <c r="D107" i="2"/>
  <c r="L106" i="2"/>
  <c r="K106" i="2"/>
  <c r="J106" i="2"/>
  <c r="I106" i="2"/>
  <c r="H106" i="2"/>
  <c r="G106" i="2"/>
  <c r="F106" i="2"/>
  <c r="E106" i="2"/>
  <c r="D106" i="2"/>
  <c r="L105" i="2"/>
  <c r="K105" i="2"/>
  <c r="J105" i="2"/>
  <c r="I105" i="2"/>
  <c r="H105" i="2"/>
  <c r="G105" i="2"/>
  <c r="F105" i="2"/>
  <c r="E105" i="2"/>
  <c r="D105" i="2"/>
  <c r="L104" i="2"/>
  <c r="K104" i="2"/>
  <c r="J104" i="2"/>
  <c r="I104" i="2"/>
  <c r="H104" i="2"/>
  <c r="G104" i="2"/>
  <c r="F104" i="2"/>
  <c r="E104" i="2"/>
  <c r="D104" i="2"/>
  <c r="L103" i="2"/>
  <c r="K103" i="2"/>
  <c r="J103" i="2"/>
  <c r="I103" i="2"/>
  <c r="H103" i="2"/>
  <c r="G103" i="2"/>
  <c r="F103" i="2"/>
  <c r="E103" i="2"/>
  <c r="D103" i="2"/>
  <c r="L102" i="2"/>
  <c r="K102" i="2"/>
  <c r="J102" i="2"/>
  <c r="I102" i="2"/>
  <c r="H102" i="2"/>
  <c r="G102" i="2"/>
  <c r="F102" i="2"/>
  <c r="E102" i="2"/>
  <c r="D102" i="2"/>
  <c r="L101" i="2"/>
  <c r="K101" i="2"/>
  <c r="J101" i="2"/>
  <c r="I101" i="2"/>
  <c r="H101" i="2"/>
  <c r="G101" i="2"/>
  <c r="F101" i="2"/>
  <c r="E101" i="2"/>
  <c r="D101" i="2"/>
  <c r="L100" i="2"/>
  <c r="K100" i="2"/>
  <c r="J100" i="2"/>
  <c r="I100" i="2"/>
  <c r="H100" i="2"/>
  <c r="G100" i="2"/>
  <c r="F100" i="2"/>
  <c r="E100" i="2"/>
  <c r="D100" i="2"/>
  <c r="L99" i="2"/>
  <c r="K99" i="2"/>
  <c r="J99" i="2"/>
  <c r="I99" i="2"/>
  <c r="H99" i="2"/>
  <c r="G99" i="2"/>
  <c r="F99" i="2"/>
  <c r="E99" i="2"/>
  <c r="D99" i="2"/>
  <c r="L98" i="2"/>
  <c r="K98" i="2"/>
  <c r="J98" i="2"/>
  <c r="I98" i="2"/>
  <c r="H98" i="2"/>
  <c r="G98" i="2"/>
  <c r="F98" i="2"/>
  <c r="E98" i="2"/>
  <c r="D98" i="2"/>
  <c r="L97" i="2"/>
  <c r="K97" i="2"/>
  <c r="J97" i="2"/>
  <c r="I97" i="2"/>
  <c r="H97" i="2"/>
  <c r="G97" i="2"/>
  <c r="F97" i="2"/>
  <c r="E97" i="2"/>
  <c r="D97" i="2"/>
  <c r="L96" i="2"/>
  <c r="K96" i="2"/>
  <c r="J96" i="2"/>
  <c r="I96" i="2"/>
  <c r="H96" i="2"/>
  <c r="G96" i="2"/>
  <c r="F96" i="2"/>
  <c r="E96" i="2"/>
  <c r="D96" i="2"/>
  <c r="L95" i="2"/>
  <c r="K95" i="2"/>
  <c r="J95" i="2"/>
  <c r="I95" i="2"/>
  <c r="H95" i="2"/>
  <c r="G95" i="2"/>
  <c r="F95" i="2"/>
  <c r="E95" i="2"/>
  <c r="D95" i="2"/>
  <c r="L94" i="2"/>
  <c r="K94" i="2"/>
  <c r="J94" i="2"/>
  <c r="I94" i="2"/>
  <c r="H94" i="2"/>
  <c r="G94" i="2"/>
  <c r="F94" i="2"/>
  <c r="E94" i="2"/>
  <c r="D94" i="2"/>
  <c r="L93" i="2"/>
  <c r="K93" i="2"/>
  <c r="J93" i="2"/>
  <c r="I93" i="2"/>
  <c r="H93" i="2"/>
  <c r="G93" i="2"/>
  <c r="F93" i="2"/>
  <c r="E93" i="2"/>
  <c r="D93" i="2"/>
  <c r="L92" i="2"/>
  <c r="K92" i="2"/>
  <c r="J92" i="2"/>
  <c r="I92" i="2"/>
  <c r="H92" i="2"/>
  <c r="G92" i="2"/>
  <c r="F92" i="2"/>
  <c r="E92" i="2"/>
  <c r="D92" i="2"/>
  <c r="L91" i="2"/>
  <c r="K91" i="2"/>
  <c r="J91" i="2"/>
  <c r="I91" i="2"/>
  <c r="H91" i="2"/>
  <c r="G91" i="2"/>
  <c r="F91" i="2"/>
  <c r="E91" i="2"/>
  <c r="D91" i="2"/>
  <c r="L90" i="2"/>
  <c r="K90" i="2"/>
  <c r="J90" i="2"/>
  <c r="I90" i="2"/>
  <c r="H90" i="2"/>
  <c r="G90" i="2"/>
  <c r="F90" i="2"/>
  <c r="E90" i="2"/>
  <c r="D90" i="2"/>
  <c r="L89" i="2"/>
  <c r="K89" i="2"/>
  <c r="J89" i="2"/>
  <c r="I89" i="2"/>
  <c r="H89" i="2"/>
  <c r="G89" i="2"/>
  <c r="F89" i="2"/>
  <c r="E89" i="2"/>
  <c r="D89" i="2"/>
  <c r="L88" i="2"/>
  <c r="K88" i="2"/>
  <c r="J88" i="2"/>
  <c r="I88" i="2"/>
  <c r="H88" i="2"/>
  <c r="G88" i="2"/>
  <c r="F88" i="2"/>
  <c r="E88" i="2"/>
  <c r="D88" i="2"/>
  <c r="L87" i="2"/>
  <c r="K87" i="2"/>
  <c r="J87" i="2"/>
  <c r="I87" i="2"/>
  <c r="H87" i="2"/>
  <c r="G87" i="2"/>
  <c r="F87" i="2"/>
  <c r="E87" i="2"/>
  <c r="D87" i="2"/>
  <c r="L86" i="2"/>
  <c r="K86" i="2"/>
  <c r="J86" i="2"/>
  <c r="I86" i="2"/>
  <c r="H86" i="2"/>
  <c r="G86" i="2"/>
  <c r="F86" i="2"/>
  <c r="E86" i="2"/>
  <c r="D86" i="2"/>
  <c r="L85" i="2"/>
  <c r="K85" i="2"/>
  <c r="J85" i="2"/>
  <c r="I85" i="2"/>
  <c r="H85" i="2"/>
  <c r="G85" i="2"/>
  <c r="F85" i="2"/>
  <c r="E85" i="2"/>
  <c r="D85" i="2"/>
  <c r="L84" i="2"/>
  <c r="K84" i="2"/>
  <c r="J84" i="2"/>
  <c r="I84" i="2"/>
  <c r="H84" i="2"/>
  <c r="G84" i="2"/>
  <c r="F84" i="2"/>
  <c r="E84" i="2"/>
  <c r="D84" i="2"/>
  <c r="L83" i="2"/>
  <c r="K83" i="2"/>
  <c r="J83" i="2"/>
  <c r="I83" i="2"/>
  <c r="H83" i="2"/>
  <c r="G83" i="2"/>
  <c r="F83" i="2"/>
  <c r="E83" i="2"/>
  <c r="D83" i="2"/>
  <c r="L82" i="2"/>
  <c r="K82" i="2"/>
  <c r="J82" i="2"/>
  <c r="I82" i="2"/>
  <c r="H82" i="2"/>
  <c r="G82" i="2"/>
  <c r="F82" i="2"/>
  <c r="E82" i="2"/>
  <c r="D82" i="2"/>
  <c r="L81" i="2"/>
  <c r="K81" i="2"/>
  <c r="J81" i="2"/>
  <c r="I81" i="2"/>
  <c r="H81" i="2"/>
  <c r="G81" i="2"/>
  <c r="F81" i="2"/>
  <c r="E81" i="2"/>
  <c r="D81" i="2"/>
  <c r="O20" i="2"/>
  <c r="O18" i="2"/>
  <c r="O16" i="2"/>
  <c r="O14" i="2"/>
  <c r="N20" i="2"/>
  <c r="N16" i="2"/>
  <c r="N14" i="2"/>
  <c r="N19" i="2"/>
  <c r="N17" i="2"/>
  <c r="N15" i="2"/>
  <c r="N13" i="2"/>
  <c r="N18" i="2"/>
  <c r="O19" i="2"/>
  <c r="O17" i="2"/>
  <c r="O15" i="2"/>
  <c r="O13" i="2"/>
  <c r="D19" i="2"/>
  <c r="D15" i="2"/>
  <c r="D18" i="2"/>
  <c r="D14" i="2"/>
  <c r="D17" i="2"/>
  <c r="D13" i="2"/>
  <c r="D20" i="2"/>
  <c r="D16" i="2"/>
  <c r="N79" i="2"/>
  <c r="N77" i="2"/>
  <c r="N75" i="2"/>
  <c r="N73" i="2"/>
  <c r="N71" i="2"/>
  <c r="N69" i="2"/>
  <c r="N67" i="2"/>
  <c r="N65" i="2"/>
  <c r="N63" i="2"/>
  <c r="N61" i="2"/>
  <c r="N59" i="2"/>
  <c r="N57" i="2"/>
  <c r="N55" i="2"/>
  <c r="N53" i="2"/>
  <c r="N51" i="2"/>
  <c r="N49" i="2"/>
  <c r="N47" i="2"/>
  <c r="N45" i="2"/>
  <c r="N43" i="2"/>
  <c r="N41" i="2"/>
  <c r="N39" i="2"/>
  <c r="N37" i="2"/>
  <c r="N35" i="2"/>
  <c r="N33" i="2"/>
  <c r="N31" i="2"/>
  <c r="N29" i="2"/>
  <c r="N27" i="2"/>
  <c r="N25" i="2"/>
  <c r="N23" i="2"/>
  <c r="O80" i="2"/>
  <c r="O78" i="2"/>
  <c r="O76" i="2"/>
  <c r="O74" i="2"/>
  <c r="O72" i="2"/>
  <c r="O70" i="2"/>
  <c r="O68" i="2"/>
  <c r="O66" i="2"/>
  <c r="O64" i="2"/>
  <c r="O62" i="2"/>
  <c r="O60" i="2"/>
  <c r="O58" i="2"/>
  <c r="O56" i="2"/>
  <c r="O54" i="2"/>
  <c r="O52" i="2"/>
  <c r="O50" i="2"/>
  <c r="O48" i="2"/>
  <c r="O46" i="2"/>
  <c r="O44" i="2"/>
  <c r="O42" i="2"/>
  <c r="O40" i="2"/>
  <c r="O38" i="2"/>
  <c r="O36" i="2"/>
  <c r="O34" i="2"/>
  <c r="O32" i="2"/>
  <c r="O30" i="2"/>
  <c r="O28" i="2"/>
  <c r="O26" i="2"/>
  <c r="O24" i="2"/>
  <c r="O22" i="2"/>
  <c r="N80" i="2"/>
  <c r="N78" i="2"/>
  <c r="N76" i="2"/>
  <c r="N74" i="2"/>
  <c r="N72" i="2"/>
  <c r="N70" i="2"/>
  <c r="N68" i="2"/>
  <c r="N66" i="2"/>
  <c r="N64" i="2"/>
  <c r="N62" i="2"/>
  <c r="N60" i="2"/>
  <c r="N58" i="2"/>
  <c r="N56" i="2"/>
  <c r="N54" i="2"/>
  <c r="N52" i="2"/>
  <c r="N50" i="2"/>
  <c r="N48" i="2"/>
  <c r="N46" i="2"/>
  <c r="N44" i="2"/>
  <c r="N42" i="2"/>
  <c r="N40" i="2"/>
  <c r="N38" i="2"/>
  <c r="N36" i="2"/>
  <c r="N34" i="2"/>
  <c r="N32" i="2"/>
  <c r="N30" i="2"/>
  <c r="N28" i="2"/>
  <c r="N26" i="2"/>
  <c r="N24" i="2"/>
  <c r="N22" i="2"/>
  <c r="O79" i="2"/>
  <c r="O77" i="2"/>
  <c r="O75" i="2"/>
  <c r="O73" i="2"/>
  <c r="O71" i="2"/>
  <c r="O69" i="2"/>
  <c r="O67" i="2"/>
  <c r="O65" i="2"/>
  <c r="O63" i="2"/>
  <c r="O61" i="2"/>
  <c r="O59" i="2"/>
  <c r="O57" i="2"/>
  <c r="O55" i="2"/>
  <c r="O53" i="2"/>
  <c r="O51" i="2"/>
  <c r="O49" i="2"/>
  <c r="O47" i="2"/>
  <c r="O45" i="2"/>
  <c r="O43" i="2"/>
  <c r="O41" i="2"/>
  <c r="O39" i="2"/>
  <c r="O37" i="2"/>
  <c r="O35" i="2"/>
  <c r="O33" i="2"/>
  <c r="O31" i="2"/>
  <c r="O29" i="2"/>
  <c r="O27" i="2"/>
  <c r="O25" i="2"/>
  <c r="O23" i="2"/>
  <c r="O21" i="2"/>
  <c r="N21" i="2"/>
  <c r="O12" i="2"/>
  <c r="N12" i="2"/>
  <c r="D78" i="2"/>
  <c r="D74" i="2"/>
  <c r="D80" i="2"/>
  <c r="D76" i="2"/>
  <c r="D72" i="2"/>
  <c r="D79" i="2"/>
  <c r="I78" i="2"/>
  <c r="D75" i="2"/>
  <c r="D71" i="2"/>
  <c r="I80" i="2"/>
  <c r="D77" i="2"/>
  <c r="D73" i="2"/>
  <c r="D70" i="2"/>
  <c r="D66" i="2"/>
  <c r="D62" i="2"/>
  <c r="D58" i="2"/>
  <c r="D54" i="2"/>
  <c r="D50" i="2"/>
  <c r="D46" i="2"/>
  <c r="D42" i="2"/>
  <c r="D38" i="2"/>
  <c r="D34" i="2"/>
  <c r="D30" i="2"/>
  <c r="D68" i="2"/>
  <c r="D64" i="2"/>
  <c r="D60" i="2"/>
  <c r="D56" i="2"/>
  <c r="D52" i="2"/>
  <c r="D48" i="2"/>
  <c r="D44" i="2"/>
  <c r="D40" i="2"/>
  <c r="D36" i="2"/>
  <c r="D32" i="2"/>
  <c r="D69" i="2"/>
  <c r="D61" i="2"/>
  <c r="D53" i="2"/>
  <c r="D45" i="2"/>
  <c r="D37" i="2"/>
  <c r="D29" i="2"/>
  <c r="D28" i="2"/>
  <c r="D24" i="2"/>
  <c r="I68" i="2"/>
  <c r="D57" i="2"/>
  <c r="D41" i="2"/>
  <c r="H37" i="2"/>
  <c r="D33" i="2"/>
  <c r="I70" i="2"/>
  <c r="D67" i="2"/>
  <c r="D59" i="2"/>
  <c r="D51" i="2"/>
  <c r="D43" i="2"/>
  <c r="D35" i="2"/>
  <c r="D27" i="2"/>
  <c r="D23" i="2"/>
  <c r="D65" i="2"/>
  <c r="D49" i="2"/>
  <c r="I36" i="2"/>
  <c r="I66" i="2"/>
  <c r="D63" i="2"/>
  <c r="I34" i="2"/>
  <c r="D31" i="2"/>
  <c r="D21" i="2"/>
  <c r="I58" i="2"/>
  <c r="D55" i="2"/>
  <c r="D26" i="2"/>
  <c r="I50" i="2"/>
  <c r="D47" i="2"/>
  <c r="I44" i="2" s="1"/>
  <c r="D25" i="2"/>
  <c r="H67" i="2"/>
  <c r="I42" i="2"/>
  <c r="D39" i="2"/>
  <c r="H45" i="2" s="1"/>
  <c r="I28" i="2"/>
  <c r="I25" i="2"/>
  <c r="D22" i="2"/>
  <c r="D11" i="2"/>
  <c r="O11" i="2"/>
  <c r="N11" i="2"/>
  <c r="I11" i="2"/>
  <c r="H11" i="2"/>
  <c r="H70" i="2"/>
  <c r="H66" i="2"/>
  <c r="H62" i="2"/>
  <c r="H58" i="2"/>
  <c r="H54" i="2"/>
  <c r="H50" i="2"/>
  <c r="H46" i="2"/>
  <c r="H42" i="2"/>
  <c r="H38" i="2"/>
  <c r="H68" i="2"/>
  <c r="H64" i="2"/>
  <c r="H60" i="2"/>
  <c r="H56" i="2"/>
  <c r="H52" i="2"/>
  <c r="H48" i="2"/>
  <c r="H44" i="2"/>
  <c r="H40" i="2"/>
  <c r="H36" i="2"/>
  <c r="I69" i="2"/>
  <c r="I61" i="2"/>
  <c r="I53" i="2"/>
  <c r="I45" i="2"/>
  <c r="I37" i="2"/>
  <c r="I29" i="2"/>
  <c r="I56" i="2"/>
  <c r="H57" i="2"/>
  <c r="I57" i="2"/>
  <c r="I40" i="2"/>
  <c r="H41" i="2"/>
  <c r="I41" i="2"/>
  <c r="I32" i="2"/>
  <c r="I33" i="2"/>
  <c r="I67" i="2"/>
  <c r="I59" i="2"/>
  <c r="H53" i="2"/>
  <c r="I51" i="2"/>
  <c r="I43" i="2"/>
  <c r="I35" i="2"/>
  <c r="I27" i="2"/>
  <c r="I23" i="2"/>
  <c r="H69" i="2"/>
  <c r="I64" i="2"/>
  <c r="H65" i="2"/>
  <c r="I65" i="2"/>
  <c r="I48" i="2"/>
  <c r="H49" i="2"/>
  <c r="I49" i="2"/>
  <c r="I62" i="2"/>
  <c r="H63" i="2"/>
  <c r="I60" i="2"/>
  <c r="I63" i="2"/>
  <c r="I30" i="2"/>
  <c r="I31" i="2"/>
  <c r="H59" i="2"/>
  <c r="I52" i="2"/>
  <c r="H61" i="2"/>
  <c r="I54" i="2"/>
  <c r="H55" i="2"/>
  <c r="I55" i="2"/>
  <c r="I26" i="2"/>
  <c r="H51" i="2"/>
  <c r="I46" i="2"/>
  <c r="H47" i="2"/>
  <c r="I47" i="2"/>
  <c r="I24" i="2"/>
  <c r="H43" i="2"/>
  <c r="I38" i="2"/>
  <c r="H39" i="2"/>
  <c r="I39" i="2"/>
  <c r="I21" i="2"/>
  <c r="I22" i="2"/>
  <c r="H78" i="2"/>
  <c r="H74" i="2"/>
  <c r="H80" i="2"/>
  <c r="H76" i="2"/>
  <c r="I76" i="2"/>
  <c r="H72" i="2"/>
  <c r="I72" i="2"/>
  <c r="H79" i="2"/>
  <c r="I79" i="2"/>
  <c r="H75" i="2"/>
  <c r="I75" i="2"/>
  <c r="H71" i="2"/>
  <c r="I71" i="2"/>
  <c r="I74" i="2"/>
  <c r="H77" i="2"/>
  <c r="I77" i="2"/>
  <c r="H73" i="2"/>
  <c r="I73" i="2"/>
  <c r="I18" i="2"/>
  <c r="I14" i="2"/>
  <c r="I17" i="2"/>
  <c r="I13" i="2"/>
  <c r="I20" i="2"/>
  <c r="I16" i="2"/>
  <c r="I15" i="2"/>
  <c r="I19" i="2"/>
  <c r="G16" i="2" l="1"/>
  <c r="F16" i="2"/>
  <c r="E16" i="2"/>
  <c r="G20" i="2"/>
  <c r="F20" i="2"/>
  <c r="E20" i="2"/>
  <c r="F13" i="2"/>
  <c r="E13" i="2"/>
  <c r="G13" i="2"/>
  <c r="F17" i="2"/>
  <c r="E17" i="2"/>
  <c r="G17" i="2"/>
  <c r="E14" i="2"/>
  <c r="G14" i="2"/>
  <c r="F14" i="2"/>
  <c r="E18" i="2"/>
  <c r="G18" i="2"/>
  <c r="F18" i="2"/>
  <c r="G15" i="2"/>
  <c r="F15" i="2"/>
  <c r="E15" i="2"/>
  <c r="G19" i="2"/>
  <c r="F19" i="2"/>
  <c r="E19" i="2"/>
  <c r="E73" i="2"/>
  <c r="G73" i="2"/>
  <c r="F73" i="2"/>
  <c r="E77" i="2"/>
  <c r="G77" i="2"/>
  <c r="F77" i="2"/>
  <c r="G71" i="2"/>
  <c r="E71" i="2"/>
  <c r="F71" i="2"/>
  <c r="G75" i="2"/>
  <c r="F75" i="2"/>
  <c r="E75" i="2"/>
  <c r="G79" i="2"/>
  <c r="E79" i="2"/>
  <c r="F79" i="2"/>
  <c r="F72" i="2"/>
  <c r="G72" i="2"/>
  <c r="E72" i="2"/>
  <c r="F76" i="2"/>
  <c r="G76" i="2"/>
  <c r="E76" i="2"/>
  <c r="F80" i="2"/>
  <c r="G80" i="2"/>
  <c r="E80" i="2"/>
  <c r="G74" i="2"/>
  <c r="F74" i="2"/>
  <c r="E74" i="2"/>
  <c r="F78" i="2"/>
  <c r="E78" i="2"/>
  <c r="G78" i="2"/>
  <c r="F22" i="2"/>
  <c r="E22" i="2"/>
  <c r="G22" i="2"/>
  <c r="G39" i="2"/>
  <c r="E39" i="2"/>
  <c r="F39" i="2"/>
  <c r="G25" i="2"/>
  <c r="F25" i="2"/>
  <c r="E25" i="2"/>
  <c r="G47" i="2"/>
  <c r="E47" i="2"/>
  <c r="F47" i="2"/>
  <c r="F26" i="2"/>
  <c r="E26" i="2"/>
  <c r="G26" i="2"/>
  <c r="G55" i="2"/>
  <c r="E55" i="2"/>
  <c r="F55" i="2"/>
  <c r="G21" i="2"/>
  <c r="F21" i="2"/>
  <c r="E21" i="2"/>
  <c r="G31" i="2"/>
  <c r="E31" i="2"/>
  <c r="F31" i="2"/>
  <c r="G63" i="2"/>
  <c r="E63" i="2"/>
  <c r="F63" i="2"/>
  <c r="E49" i="2"/>
  <c r="G49" i="2"/>
  <c r="F49" i="2"/>
  <c r="E65" i="2"/>
  <c r="G65" i="2"/>
  <c r="F65" i="2"/>
  <c r="E23" i="2"/>
  <c r="G23" i="2"/>
  <c r="F23" i="2"/>
  <c r="E27" i="2"/>
  <c r="G27" i="2"/>
  <c r="F27" i="2"/>
  <c r="G35" i="2"/>
  <c r="E35" i="2"/>
  <c r="F35" i="2"/>
  <c r="G43" i="2"/>
  <c r="E43" i="2"/>
  <c r="F43" i="2"/>
  <c r="G51" i="2"/>
  <c r="E51" i="2"/>
  <c r="F51" i="2"/>
  <c r="G59" i="2"/>
  <c r="E59" i="2"/>
  <c r="F59" i="2"/>
  <c r="G67" i="2"/>
  <c r="E67" i="2"/>
  <c r="F67" i="2"/>
  <c r="E33" i="2"/>
  <c r="G33" i="2"/>
  <c r="F33" i="2"/>
  <c r="E41" i="2"/>
  <c r="G41" i="2"/>
  <c r="F41" i="2"/>
  <c r="E57" i="2"/>
  <c r="G57" i="2"/>
  <c r="F57" i="2"/>
  <c r="G24" i="2"/>
  <c r="F24" i="2"/>
  <c r="E24" i="2"/>
  <c r="F28" i="2"/>
  <c r="G28" i="2"/>
  <c r="E28" i="2"/>
  <c r="E29" i="2"/>
  <c r="G29" i="2"/>
  <c r="F29" i="2"/>
  <c r="E37" i="2"/>
  <c r="G37" i="2"/>
  <c r="F37" i="2"/>
  <c r="E45" i="2"/>
  <c r="G45" i="2"/>
  <c r="F45" i="2"/>
  <c r="E53" i="2"/>
  <c r="G53" i="2"/>
  <c r="F53" i="2"/>
  <c r="E61" i="2"/>
  <c r="G61" i="2"/>
  <c r="F61" i="2"/>
  <c r="E69" i="2"/>
  <c r="G69" i="2"/>
  <c r="F69" i="2"/>
  <c r="F32" i="2"/>
  <c r="G32" i="2"/>
  <c r="E32" i="2"/>
  <c r="F36" i="2"/>
  <c r="K36" i="2" s="1"/>
  <c r="E36" i="2"/>
  <c r="J36" i="2" s="1"/>
  <c r="G36" i="2"/>
  <c r="L36" i="2" s="1"/>
  <c r="F40" i="2"/>
  <c r="G40" i="2"/>
  <c r="E40" i="2"/>
  <c r="F44" i="2"/>
  <c r="E44" i="2"/>
  <c r="G44" i="2"/>
  <c r="F48" i="2"/>
  <c r="E48" i="2"/>
  <c r="G48" i="2"/>
  <c r="F52" i="2"/>
  <c r="E52" i="2"/>
  <c r="G52" i="2"/>
  <c r="F56" i="2"/>
  <c r="G56" i="2"/>
  <c r="E56" i="2"/>
  <c r="F60" i="2"/>
  <c r="E60" i="2"/>
  <c r="G60" i="2"/>
  <c r="F64" i="2"/>
  <c r="G64" i="2"/>
  <c r="E64" i="2"/>
  <c r="F68" i="2"/>
  <c r="E68" i="2"/>
  <c r="G68" i="2"/>
  <c r="F30" i="2"/>
  <c r="G30" i="2"/>
  <c r="E30" i="2"/>
  <c r="F34" i="2"/>
  <c r="G34" i="2"/>
  <c r="E34" i="2"/>
  <c r="F38" i="2"/>
  <c r="G38" i="2"/>
  <c r="E38" i="2"/>
  <c r="F42" i="2"/>
  <c r="G42" i="2"/>
  <c r="E42" i="2"/>
  <c r="F46" i="2"/>
  <c r="G46" i="2"/>
  <c r="E46" i="2"/>
  <c r="F50" i="2"/>
  <c r="G50" i="2"/>
  <c r="E50" i="2"/>
  <c r="F54" i="2"/>
  <c r="G54" i="2"/>
  <c r="E54" i="2"/>
  <c r="F58" i="2"/>
  <c r="G58" i="2"/>
  <c r="E58" i="2"/>
  <c r="F62" i="2"/>
  <c r="G62" i="2"/>
  <c r="E62" i="2"/>
  <c r="F66" i="2"/>
  <c r="G66" i="2"/>
  <c r="E66" i="2"/>
  <c r="F70" i="2"/>
  <c r="G70" i="2"/>
  <c r="E70" i="2"/>
  <c r="L70" i="2"/>
  <c r="J70" i="2"/>
  <c r="K70" i="2"/>
  <c r="D12" i="2"/>
  <c r="I12" i="2"/>
  <c r="H12" i="2"/>
  <c r="H22" i="2"/>
  <c r="H35" i="2"/>
  <c r="H25" i="2"/>
  <c r="H26" i="2"/>
  <c r="H31" i="2"/>
  <c r="H23" i="2"/>
  <c r="H29" i="2"/>
  <c r="H27" i="2"/>
  <c r="H33" i="2"/>
  <c r="H24" i="2"/>
  <c r="H28" i="2"/>
  <c r="H32" i="2"/>
  <c r="H30" i="2"/>
  <c r="H34" i="2"/>
  <c r="H21" i="2"/>
  <c r="H16" i="2"/>
  <c r="H20" i="2"/>
  <c r="H13" i="2"/>
  <c r="H17" i="2"/>
  <c r="H14" i="2"/>
  <c r="H18" i="2"/>
  <c r="H15" i="2"/>
  <c r="H19" i="2"/>
  <c r="B12" i="2" l="1"/>
  <c r="G11" i="2" l="1"/>
  <c r="F11" i="2"/>
  <c r="E11" i="2"/>
  <c r="E12" i="2"/>
  <c r="G12" i="2"/>
  <c r="F12" i="2"/>
  <c r="L17" i="2"/>
  <c r="L18" i="2"/>
  <c r="L14" i="2"/>
  <c r="L16" i="2"/>
  <c r="L13" i="2"/>
  <c r="L19" i="2"/>
  <c r="L20" i="2"/>
  <c r="L15" i="2"/>
  <c r="K20" i="2"/>
  <c r="K18" i="2"/>
  <c r="K14" i="2"/>
  <c r="K16" i="2"/>
  <c r="K15" i="2"/>
  <c r="K13" i="2"/>
  <c r="K17" i="2"/>
  <c r="K19" i="2"/>
  <c r="J13" i="2"/>
  <c r="J19" i="2"/>
  <c r="J20" i="2"/>
  <c r="J14" i="2"/>
  <c r="J15" i="2"/>
  <c r="J16" i="2"/>
  <c r="J17" i="2"/>
  <c r="J18" i="2"/>
  <c r="C4" i="2" l="1"/>
  <c r="C3" i="2"/>
  <c r="K30" i="2"/>
  <c r="K27" i="2"/>
  <c r="K26" i="2"/>
  <c r="K34" i="2"/>
  <c r="K23" i="2"/>
  <c r="K35" i="2"/>
  <c r="K21" i="2"/>
  <c r="K33" i="2"/>
  <c r="K29" i="2"/>
  <c r="K31" i="2"/>
  <c r="K22" i="2"/>
  <c r="K32" i="2"/>
  <c r="K28" i="2"/>
  <c r="K24" i="2"/>
  <c r="K25" i="2"/>
  <c r="L21" i="2"/>
  <c r="L33" i="2"/>
  <c r="L22" i="2"/>
  <c r="L30" i="2"/>
  <c r="L32" i="2"/>
  <c r="L31" i="2"/>
  <c r="L34" i="2"/>
  <c r="L28" i="2"/>
  <c r="L24" i="2"/>
  <c r="L23" i="2"/>
  <c r="L25" i="2"/>
  <c r="L27" i="2"/>
  <c r="L29" i="2"/>
  <c r="L26" i="2"/>
  <c r="L35" i="2"/>
  <c r="J32" i="2"/>
  <c r="J28" i="2"/>
  <c r="J29" i="2"/>
  <c r="J31" i="2"/>
  <c r="J25" i="2"/>
  <c r="J24" i="2"/>
  <c r="J33" i="2"/>
  <c r="J27" i="2"/>
  <c r="J26" i="2"/>
  <c r="J22" i="2"/>
  <c r="J30" i="2"/>
  <c r="J35" i="2"/>
  <c r="J21" i="2"/>
  <c r="J34" i="2"/>
  <c r="J23" i="2"/>
  <c r="L44" i="2"/>
  <c r="K58" i="2"/>
  <c r="L42" i="2"/>
  <c r="J61" i="2"/>
  <c r="L53" i="2"/>
  <c r="L56" i="2"/>
  <c r="K57" i="2"/>
  <c r="J41" i="2"/>
  <c r="J59" i="2"/>
  <c r="J51" i="2"/>
  <c r="K43" i="2"/>
  <c r="J64" i="2"/>
  <c r="K48" i="2"/>
  <c r="L49" i="2"/>
  <c r="L62" i="2"/>
  <c r="L63" i="2"/>
  <c r="K54" i="2"/>
  <c r="J55" i="2"/>
  <c r="L47" i="2"/>
  <c r="L38" i="2"/>
  <c r="K68" i="2"/>
  <c r="J44" i="2"/>
  <c r="K66" i="2"/>
  <c r="J58" i="2"/>
  <c r="K50" i="2"/>
  <c r="J69" i="2"/>
  <c r="L61" i="2"/>
  <c r="K53" i="2"/>
  <c r="J37" i="2"/>
  <c r="J56" i="2"/>
  <c r="K40" i="2"/>
  <c r="L41" i="2"/>
  <c r="J67" i="2"/>
  <c r="L59" i="2"/>
  <c r="K51" i="2"/>
  <c r="J65" i="2"/>
  <c r="L48" i="2"/>
  <c r="K49" i="2"/>
  <c r="K60" i="2"/>
  <c r="J63" i="2"/>
  <c r="K52" i="2"/>
  <c r="J54" i="2"/>
  <c r="K55" i="2"/>
  <c r="K46" i="2"/>
  <c r="J47" i="2"/>
  <c r="L39" i="2"/>
  <c r="L68" i="2"/>
  <c r="J66" i="2"/>
  <c r="L58" i="2"/>
  <c r="J50" i="2"/>
  <c r="K42" i="2"/>
  <c r="L69" i="2"/>
  <c r="K61" i="2"/>
  <c r="L37" i="2"/>
  <c r="J57" i="2"/>
  <c r="L40" i="2"/>
  <c r="K41" i="2"/>
  <c r="L67" i="2"/>
  <c r="K59" i="2"/>
  <c r="J43" i="2"/>
  <c r="K64" i="2"/>
  <c r="L65" i="2"/>
  <c r="J48" i="2"/>
  <c r="K62" i="2"/>
  <c r="L60" i="2"/>
  <c r="K63" i="2"/>
  <c r="L52" i="2"/>
  <c r="L54" i="2"/>
  <c r="J46" i="2"/>
  <c r="K47" i="2"/>
  <c r="K38" i="2"/>
  <c r="J39" i="2"/>
  <c r="J68" i="2"/>
  <c r="K44" i="2"/>
  <c r="L66" i="2"/>
  <c r="L50" i="2"/>
  <c r="J42" i="2"/>
  <c r="K69" i="2"/>
  <c r="J53" i="2"/>
  <c r="K37" i="2"/>
  <c r="K56" i="2"/>
  <c r="L57" i="2"/>
  <c r="J40" i="2"/>
  <c r="K67" i="2"/>
  <c r="L51" i="2"/>
  <c r="L43" i="2"/>
  <c r="L64" i="2"/>
  <c r="K65" i="2"/>
  <c r="J49" i="2"/>
  <c r="J62" i="2"/>
  <c r="J60" i="2"/>
  <c r="J52" i="2"/>
  <c r="L55" i="2"/>
  <c r="L46" i="2"/>
  <c r="J38" i="2"/>
  <c r="K39" i="2"/>
  <c r="K11" i="2"/>
  <c r="L11" i="2"/>
  <c r="J11" i="2"/>
  <c r="K12" i="2"/>
  <c r="J12" i="2"/>
  <c r="L12" i="2"/>
  <c r="J71" i="2"/>
  <c r="J80" i="2"/>
  <c r="K79" i="2"/>
  <c r="L78" i="2"/>
  <c r="K75" i="2"/>
  <c r="K78" i="2"/>
  <c r="L75" i="2"/>
  <c r="J75" i="2"/>
  <c r="K77" i="2"/>
  <c r="L72" i="2"/>
  <c r="K73" i="2"/>
  <c r="J79" i="2"/>
  <c r="J73" i="2"/>
  <c r="L79" i="2"/>
  <c r="L73" i="2"/>
  <c r="J72" i="2"/>
  <c r="J74" i="2"/>
  <c r="K76" i="2"/>
  <c r="J77" i="2"/>
  <c r="K72" i="2"/>
  <c r="L77" i="2"/>
  <c r="J76" i="2"/>
  <c r="L74" i="2"/>
  <c r="L76" i="2"/>
  <c r="L71" i="2"/>
  <c r="L80" i="2"/>
  <c r="K74" i="2"/>
  <c r="K80" i="2"/>
  <c r="K71" i="2"/>
  <c r="J78" i="2"/>
  <c r="K45" i="2" l="1"/>
  <c r="L45" i="2"/>
  <c r="J45" i="2"/>
</calcChain>
</file>

<file path=xl/sharedStrings.xml><?xml version="1.0" encoding="utf-8"?>
<sst xmlns="http://schemas.openxmlformats.org/spreadsheetml/2006/main" count="29" uniqueCount="25">
  <si>
    <t>Color</t>
  </si>
  <si>
    <t xml:space="preserve"> </t>
  </si>
  <si>
    <t>Step</t>
  </si>
  <si>
    <t>R</t>
  </si>
  <si>
    <t>G</t>
  </si>
  <si>
    <t>B</t>
  </si>
  <si>
    <t>Hex Color</t>
  </si>
  <si>
    <t>Down</t>
  </si>
  <si>
    <t>Up</t>
  </si>
  <si>
    <t>Steps</t>
  </si>
  <si>
    <t>Range</t>
  </si>
  <si>
    <t>Column</t>
  </si>
  <si>
    <t>Instructions</t>
  </si>
  <si>
    <t>R Vector Code:</t>
  </si>
  <si>
    <t>3.) Make sure the last step has a color</t>
  </si>
  <si>
    <t>Int Color</t>
  </si>
  <si>
    <t>Input</t>
  </si>
  <si>
    <t>c("#FF0000","#FE0A0A","#FE1313","#FD1D1D","#FD2727","#FC3030","#FC3A3A","#FB4444","#FB4D4D","#FA5757","#FA6161","#F96A6A","#F97474","#F87E7E","#F88888","#F79191","#F79B9B","#F6A5A5","#F6AEAE","#F5B8B8","#F5C2C2","#F4CBCB","#F4D5D5","#F3DFDF","#F3E8E8","#F2F2F2","#E8E8F3","#DFDFF3","#D5D5F4","#CBCBF4","#C2C2F5","#B8B8F5","#AEAEF6","#A5A5F6","#9B9BF7","#9191F7","#8888F8","#7E7EF8","#7474F9","#6A6AF9","#6161FA","#5757FA","#4D4DFB","#4444FB","#3A3AFC","#3030FC","#2727FD","#1D1DFD","#1313FE","#0A0AFE","#0000FF")</t>
  </si>
  <si>
    <t>1.) Set the number of total colors in your palette in the "steps" cell (min=3, max=100)</t>
  </si>
  <si>
    <t>When you are done, column M will show you visually what your color scale looks like, and cell D8 will contain a string of R code that can be used to create a vector with those colors, in order.</t>
  </si>
  <si>
    <t>Example:</t>
  </si>
  <si>
    <r>
      <t xml:space="preserve">4.) Hit </t>
    </r>
    <r>
      <rPr>
        <b/>
        <sz val="11"/>
        <color theme="1"/>
        <rFont val="Calibri"/>
        <family val="2"/>
        <scheme val="minor"/>
      </rPr>
      <t>F9</t>
    </r>
    <r>
      <rPr>
        <sz val="11"/>
        <color theme="1"/>
        <rFont val="Calibri"/>
        <family val="2"/>
        <scheme val="minor"/>
      </rPr>
      <t xml:space="preserve"> to recalculate</t>
    </r>
  </si>
  <si>
    <t>For a three color scale that runs from Blue to White to Red, set cell C11 to be Blue, C36 to be off-white (not exactly white, because that will not register), and C61 to be Red. 
Then set "steps" to be 51. Click "Make Palette" and observe the output.</t>
  </si>
  <si>
    <t>2.) Pick the colors that you want as "pivot" points in your pallette. (You can have as many as you want, but white cannot be one of them, you will have to use something slightly off-white instead.)</t>
  </si>
  <si>
    <r>
      <t xml:space="preserve">5.) Click the big blue "Make Palette" button at the top, or press </t>
    </r>
    <r>
      <rPr>
        <b/>
        <sz val="11"/>
        <color theme="1"/>
        <rFont val="Calibri"/>
        <family val="2"/>
        <scheme val="minor"/>
      </rPr>
      <t>Ctrl + q</t>
    </r>
  </si>
</sst>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u/>
      <sz val="11"/>
      <color theme="1"/>
      <name val="Calibri"/>
      <family val="2"/>
      <scheme val="minor"/>
    </font>
    <font>
      <sz val="11"/>
      <color rgb="FF0000FF"/>
      <name val="Calibri"/>
      <family val="2"/>
      <scheme val="minor"/>
    </font>
    <font>
      <b/>
      <sz val="11"/>
      <color rgb="FF0000FF"/>
      <name val="Calibri"/>
      <family val="2"/>
      <scheme val="minor"/>
    </font>
    <font>
      <b/>
      <sz val="11"/>
      <color theme="1"/>
      <name val="Calibri"/>
      <family val="2"/>
      <scheme val="minor"/>
    </font>
  </fonts>
  <fills count="56">
    <fill>
      <patternFill patternType="none"/>
    </fill>
    <fill>
      <patternFill patternType="gray125"/>
    </fill>
    <fill>
      <patternFill patternType="solid">
        <fgColor rgb="FF0000FF"/>
        <bgColor indexed="64"/>
      </patternFill>
    </fill>
    <fill>
      <patternFill patternType="solid">
        <fgColor rgb="FFFF000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0A0AFE"/>
        <bgColor indexed="64"/>
      </patternFill>
    </fill>
    <fill>
      <patternFill patternType="solid">
        <fgColor rgb="FF1313FE"/>
        <bgColor indexed="64"/>
      </patternFill>
    </fill>
    <fill>
      <patternFill patternType="solid">
        <fgColor rgb="FF1D1DFD"/>
        <bgColor indexed="64"/>
      </patternFill>
    </fill>
    <fill>
      <patternFill patternType="solid">
        <fgColor rgb="FF2727FD"/>
        <bgColor indexed="64"/>
      </patternFill>
    </fill>
    <fill>
      <patternFill patternType="solid">
        <fgColor rgb="FF3030FC"/>
        <bgColor indexed="64"/>
      </patternFill>
    </fill>
    <fill>
      <patternFill patternType="solid">
        <fgColor rgb="FF3A3AFC"/>
        <bgColor indexed="64"/>
      </patternFill>
    </fill>
    <fill>
      <patternFill patternType="solid">
        <fgColor rgb="FF4444FB"/>
        <bgColor indexed="64"/>
      </patternFill>
    </fill>
    <fill>
      <patternFill patternType="solid">
        <fgColor rgb="FF4D4DFB"/>
        <bgColor indexed="64"/>
      </patternFill>
    </fill>
    <fill>
      <patternFill patternType="solid">
        <fgColor rgb="FF5757FA"/>
        <bgColor indexed="64"/>
      </patternFill>
    </fill>
    <fill>
      <patternFill patternType="solid">
        <fgColor rgb="FF6161FA"/>
        <bgColor indexed="64"/>
      </patternFill>
    </fill>
    <fill>
      <patternFill patternType="solid">
        <fgColor rgb="FF6A6AF9"/>
        <bgColor indexed="64"/>
      </patternFill>
    </fill>
    <fill>
      <patternFill patternType="solid">
        <fgColor rgb="FF7474F9"/>
        <bgColor indexed="64"/>
      </patternFill>
    </fill>
    <fill>
      <patternFill patternType="solid">
        <fgColor rgb="FF7E7EF8"/>
        <bgColor indexed="64"/>
      </patternFill>
    </fill>
    <fill>
      <patternFill patternType="solid">
        <fgColor rgb="FF8888F8"/>
        <bgColor indexed="64"/>
      </patternFill>
    </fill>
    <fill>
      <patternFill patternType="solid">
        <fgColor rgb="FF9191F7"/>
        <bgColor indexed="64"/>
      </patternFill>
    </fill>
    <fill>
      <patternFill patternType="solid">
        <fgColor rgb="FF9B9BF7"/>
        <bgColor indexed="64"/>
      </patternFill>
    </fill>
    <fill>
      <patternFill patternType="solid">
        <fgColor rgb="FFA5A5F6"/>
        <bgColor indexed="64"/>
      </patternFill>
    </fill>
    <fill>
      <patternFill patternType="solid">
        <fgColor rgb="FFAEAEF6"/>
        <bgColor indexed="64"/>
      </patternFill>
    </fill>
    <fill>
      <patternFill patternType="solid">
        <fgColor rgb="FFB8B8F5"/>
        <bgColor indexed="64"/>
      </patternFill>
    </fill>
    <fill>
      <patternFill patternType="solid">
        <fgColor rgb="FFC2C2F5"/>
        <bgColor indexed="64"/>
      </patternFill>
    </fill>
    <fill>
      <patternFill patternType="solid">
        <fgColor rgb="FFCBCBF4"/>
        <bgColor indexed="64"/>
      </patternFill>
    </fill>
    <fill>
      <patternFill patternType="solid">
        <fgColor rgb="FFD5D5F4"/>
        <bgColor indexed="64"/>
      </patternFill>
    </fill>
    <fill>
      <patternFill patternType="solid">
        <fgColor rgb="FFDFDFF3"/>
        <bgColor indexed="64"/>
      </patternFill>
    </fill>
    <fill>
      <patternFill patternType="solid">
        <fgColor rgb="FFE8E8F3"/>
        <bgColor indexed="64"/>
      </patternFill>
    </fill>
    <fill>
      <patternFill patternType="solid">
        <fgColor rgb="FFF2F2F2"/>
        <bgColor indexed="64"/>
      </patternFill>
    </fill>
    <fill>
      <patternFill patternType="solid">
        <fgColor rgb="FFF3E8E8"/>
        <bgColor indexed="64"/>
      </patternFill>
    </fill>
    <fill>
      <patternFill patternType="solid">
        <fgColor rgb="FFF3DFDF"/>
        <bgColor indexed="64"/>
      </patternFill>
    </fill>
    <fill>
      <patternFill patternType="solid">
        <fgColor rgb="FFF4D5D5"/>
        <bgColor indexed="64"/>
      </patternFill>
    </fill>
    <fill>
      <patternFill patternType="solid">
        <fgColor rgb="FFF4CBCB"/>
        <bgColor indexed="64"/>
      </patternFill>
    </fill>
    <fill>
      <patternFill patternType="solid">
        <fgColor rgb="FFF5C2C2"/>
        <bgColor indexed="64"/>
      </patternFill>
    </fill>
    <fill>
      <patternFill patternType="solid">
        <fgColor rgb="FFF5B8B8"/>
        <bgColor indexed="64"/>
      </patternFill>
    </fill>
    <fill>
      <patternFill patternType="solid">
        <fgColor rgb="FFF6AEAE"/>
        <bgColor indexed="64"/>
      </patternFill>
    </fill>
    <fill>
      <patternFill patternType="solid">
        <fgColor rgb="FFF6A5A5"/>
        <bgColor indexed="64"/>
      </patternFill>
    </fill>
    <fill>
      <patternFill patternType="solid">
        <fgColor rgb="FFF79B9B"/>
        <bgColor indexed="64"/>
      </patternFill>
    </fill>
    <fill>
      <patternFill patternType="solid">
        <fgColor rgb="FFF79191"/>
        <bgColor indexed="64"/>
      </patternFill>
    </fill>
    <fill>
      <patternFill patternType="solid">
        <fgColor rgb="FFF88888"/>
        <bgColor indexed="64"/>
      </patternFill>
    </fill>
    <fill>
      <patternFill patternType="solid">
        <fgColor rgb="FFF87E7E"/>
        <bgColor indexed="64"/>
      </patternFill>
    </fill>
    <fill>
      <patternFill patternType="solid">
        <fgColor rgb="FFF97474"/>
        <bgColor indexed="64"/>
      </patternFill>
    </fill>
    <fill>
      <patternFill patternType="solid">
        <fgColor rgb="FFF96A6A"/>
        <bgColor indexed="64"/>
      </patternFill>
    </fill>
    <fill>
      <patternFill patternType="solid">
        <fgColor rgb="FFFA6161"/>
        <bgColor indexed="64"/>
      </patternFill>
    </fill>
    <fill>
      <patternFill patternType="solid">
        <fgColor rgb="FFFA5757"/>
        <bgColor indexed="64"/>
      </patternFill>
    </fill>
    <fill>
      <patternFill patternType="solid">
        <fgColor rgb="FFFB4D4D"/>
        <bgColor indexed="64"/>
      </patternFill>
    </fill>
    <fill>
      <patternFill patternType="solid">
        <fgColor rgb="FFFB4444"/>
        <bgColor indexed="64"/>
      </patternFill>
    </fill>
    <fill>
      <patternFill patternType="solid">
        <fgColor rgb="FFFC3A3A"/>
        <bgColor indexed="64"/>
      </patternFill>
    </fill>
    <fill>
      <patternFill patternType="solid">
        <fgColor rgb="FFFC3030"/>
        <bgColor indexed="64"/>
      </patternFill>
    </fill>
    <fill>
      <patternFill patternType="solid">
        <fgColor rgb="FFFD2727"/>
        <bgColor indexed="64"/>
      </patternFill>
    </fill>
    <fill>
      <patternFill patternType="solid">
        <fgColor rgb="FFFD1D1D"/>
        <bgColor indexed="64"/>
      </patternFill>
    </fill>
    <fill>
      <patternFill patternType="solid">
        <fgColor rgb="FFFE1313"/>
        <bgColor indexed="64"/>
      </patternFill>
    </fill>
    <fill>
      <patternFill patternType="solid">
        <fgColor rgb="FFFE0A0A"/>
        <bgColor indexed="64"/>
      </patternFill>
    </fill>
    <fill>
      <patternFill patternType="solid">
        <fgColor rgb="FFFFFFCC"/>
        <bgColor indexed="64"/>
      </patternFill>
    </fill>
  </fills>
  <borders count="1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85">
    <xf numFmtId="0" fontId="0" fillId="0" borderId="0" xfId="0"/>
    <xf numFmtId="0" fontId="0" fillId="0" borderId="0" xfId="0" applyAlignment="1">
      <alignment horizontal="right"/>
    </xf>
    <xf numFmtId="0" fontId="1" fillId="0" borderId="0" xfId="0" applyFont="1"/>
    <xf numFmtId="0" fontId="0" fillId="0" borderId="0" xfId="0" applyAlignment="1">
      <alignment horizontal="center"/>
    </xf>
    <xf numFmtId="0" fontId="1" fillId="0" borderId="0" xfId="0" applyFont="1" applyAlignment="1">
      <alignment horizontal="center"/>
    </xf>
    <xf numFmtId="0" fontId="1" fillId="0" borderId="0" xfId="0" applyFont="1" applyBorder="1" applyAlignment="1">
      <alignment horizontal="center"/>
    </xf>
    <xf numFmtId="0" fontId="1" fillId="4" borderId="0" xfId="0" applyFont="1" applyFill="1" applyBorder="1" applyAlignment="1">
      <alignment horizontal="center"/>
    </xf>
    <xf numFmtId="0" fontId="3" fillId="0" borderId="0" xfId="0" applyFont="1"/>
    <xf numFmtId="0" fontId="0" fillId="0" borderId="2" xfId="0" applyBorder="1" applyAlignment="1">
      <alignment horizontal="center"/>
    </xf>
    <xf numFmtId="0" fontId="0" fillId="2" borderId="3" xfId="0" applyFill="1" applyBorder="1"/>
    <xf numFmtId="0" fontId="0" fillId="0" borderId="3" xfId="0" applyBorder="1"/>
    <xf numFmtId="0" fontId="0" fillId="0" borderId="3" xfId="0" applyBorder="1" applyAlignment="1">
      <alignment horizontal="center"/>
    </xf>
    <xf numFmtId="0" fontId="2" fillId="0" borderId="3" xfId="0" applyFont="1" applyBorder="1" applyAlignment="1">
      <alignment horizontal="center"/>
    </xf>
    <xf numFmtId="0" fontId="0" fillId="0" borderId="4" xfId="0" applyBorder="1"/>
    <xf numFmtId="0" fontId="0" fillId="0" borderId="5" xfId="0" applyBorder="1" applyAlignment="1">
      <alignment horizontal="center"/>
    </xf>
    <xf numFmtId="0" fontId="0" fillId="0" borderId="0" xfId="0" applyBorder="1"/>
    <xf numFmtId="0" fontId="0" fillId="0" borderId="0" xfId="0" applyBorder="1" applyAlignment="1">
      <alignment horizontal="center"/>
    </xf>
    <xf numFmtId="0" fontId="2" fillId="0" borderId="0" xfId="0" applyFont="1" applyBorder="1" applyAlignment="1">
      <alignment horizontal="center"/>
    </xf>
    <xf numFmtId="0" fontId="0" fillId="6" borderId="0" xfId="0" applyFill="1" applyBorder="1"/>
    <xf numFmtId="0" fontId="0" fillId="0" borderId="6" xfId="0" applyBorder="1"/>
    <xf numFmtId="0" fontId="0" fillId="7" borderId="0" xfId="0" applyFill="1" applyBorder="1"/>
    <xf numFmtId="0" fontId="0" fillId="0" borderId="0" xfId="0" applyFill="1" applyBorder="1"/>
    <xf numFmtId="0" fontId="0" fillId="8" borderId="0"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13" borderId="0" xfId="0" applyFill="1" applyBorder="1"/>
    <xf numFmtId="0" fontId="0" fillId="14" borderId="0" xfId="0" applyFill="1" applyBorder="1"/>
    <xf numFmtId="0" fontId="0" fillId="15" borderId="0" xfId="0" applyFill="1" applyBorder="1"/>
    <xf numFmtId="0" fontId="0" fillId="16" borderId="0" xfId="0" applyFill="1" applyBorder="1"/>
    <xf numFmtId="0" fontId="0" fillId="17" borderId="0" xfId="0" applyFill="1" applyBorder="1"/>
    <xf numFmtId="0" fontId="0" fillId="18" borderId="0" xfId="0" applyFill="1" applyBorder="1"/>
    <xf numFmtId="0" fontId="2" fillId="0" borderId="0" xfId="0" applyFont="1" applyFill="1" applyBorder="1"/>
    <xf numFmtId="0" fontId="0" fillId="19" borderId="0" xfId="0" applyFill="1" applyBorder="1"/>
    <xf numFmtId="0" fontId="0" fillId="20" borderId="0" xfId="0" applyFill="1" applyBorder="1"/>
    <xf numFmtId="0" fontId="0" fillId="21" borderId="0" xfId="0" applyFill="1" applyBorder="1"/>
    <xf numFmtId="0" fontId="0" fillId="22" borderId="0" xfId="0" applyFill="1" applyBorder="1"/>
    <xf numFmtId="0" fontId="0" fillId="23" borderId="0" xfId="0" applyFill="1" applyBorder="1"/>
    <xf numFmtId="0" fontId="0" fillId="24" borderId="0" xfId="0" applyFill="1" applyBorder="1"/>
    <xf numFmtId="0" fontId="0" fillId="25" borderId="0" xfId="0" applyFill="1" applyBorder="1"/>
    <xf numFmtId="0" fontId="0" fillId="26" borderId="0" xfId="0" applyFill="1" applyBorder="1"/>
    <xf numFmtId="0" fontId="0" fillId="27" borderId="0" xfId="0" applyFill="1" applyBorder="1"/>
    <xf numFmtId="0" fontId="0" fillId="28" borderId="0" xfId="0" applyFill="1" applyBorder="1"/>
    <xf numFmtId="0" fontId="0" fillId="29" borderId="0" xfId="0" applyFill="1" applyBorder="1"/>
    <xf numFmtId="0" fontId="0" fillId="5" borderId="0" xfId="0" applyFill="1" applyBorder="1"/>
    <xf numFmtId="0" fontId="0" fillId="30" borderId="0" xfId="0" applyFill="1" applyBorder="1"/>
    <xf numFmtId="0" fontId="0" fillId="31" borderId="0" xfId="0" applyFill="1" applyBorder="1"/>
    <xf numFmtId="0" fontId="0" fillId="32" borderId="0" xfId="0" applyFill="1" applyBorder="1"/>
    <xf numFmtId="0" fontId="0" fillId="33" borderId="0" xfId="0" applyFill="1" applyBorder="1"/>
    <xf numFmtId="0" fontId="0" fillId="34" borderId="0" xfId="0" applyFill="1" applyBorder="1"/>
    <xf numFmtId="0" fontId="0" fillId="35" borderId="0" xfId="0" applyFill="1" applyBorder="1"/>
    <xf numFmtId="0" fontId="0" fillId="36" borderId="0" xfId="0" applyFill="1" applyBorder="1"/>
    <xf numFmtId="0" fontId="0" fillId="37" borderId="0" xfId="0" applyFill="1" applyBorder="1"/>
    <xf numFmtId="0" fontId="0" fillId="38" borderId="0" xfId="0" applyFill="1" applyBorder="1"/>
    <xf numFmtId="0" fontId="0" fillId="39" borderId="0" xfId="0" applyFill="1" applyBorder="1"/>
    <xf numFmtId="0" fontId="0" fillId="40" borderId="0" xfId="0" applyFill="1" applyBorder="1"/>
    <xf numFmtId="0" fontId="0" fillId="41" borderId="0" xfId="0" applyFill="1" applyBorder="1"/>
    <xf numFmtId="0" fontId="0" fillId="42" borderId="0" xfId="0" applyFill="1" applyBorder="1"/>
    <xf numFmtId="0" fontId="0" fillId="43" borderId="0" xfId="0" applyFill="1" applyBorder="1"/>
    <xf numFmtId="0" fontId="0" fillId="44" borderId="0" xfId="0" applyFill="1" applyBorder="1"/>
    <xf numFmtId="0" fontId="0" fillId="45" borderId="0" xfId="0" applyFill="1" applyBorder="1"/>
    <xf numFmtId="0" fontId="0" fillId="46" borderId="0" xfId="0" applyFill="1" applyBorder="1"/>
    <xf numFmtId="0" fontId="0" fillId="47" borderId="0" xfId="0" applyFill="1" applyBorder="1"/>
    <xf numFmtId="0" fontId="0" fillId="48" borderId="0" xfId="0" applyFill="1" applyBorder="1"/>
    <xf numFmtId="0" fontId="0" fillId="49" borderId="0" xfId="0" applyFill="1" applyBorder="1"/>
    <xf numFmtId="0" fontId="0" fillId="50" borderId="0" xfId="0" applyFill="1" applyBorder="1"/>
    <xf numFmtId="0" fontId="0" fillId="51" borderId="0" xfId="0" applyFill="1" applyBorder="1"/>
    <xf numFmtId="0" fontId="0" fillId="52" borderId="0" xfId="0" applyFill="1" applyBorder="1"/>
    <xf numFmtId="0" fontId="0" fillId="53" borderId="0" xfId="0" applyFill="1" applyBorder="1"/>
    <xf numFmtId="0" fontId="0" fillId="54" borderId="0" xfId="0" applyFill="1" applyBorder="1"/>
    <xf numFmtId="0" fontId="0" fillId="3" borderId="0" xfId="0" applyFill="1" applyBorder="1"/>
    <xf numFmtId="0" fontId="0" fillId="0" borderId="7" xfId="0" applyBorder="1" applyAlignment="1">
      <alignment horizontal="center"/>
    </xf>
    <xf numFmtId="0" fontId="0" fillId="0" borderId="8" xfId="0" applyBorder="1"/>
    <xf numFmtId="0" fontId="0" fillId="0" borderId="9" xfId="0" applyBorder="1"/>
    <xf numFmtId="0" fontId="0" fillId="0" borderId="8" xfId="0" applyBorder="1" applyAlignment="1">
      <alignment horizontal="center"/>
    </xf>
    <xf numFmtId="0" fontId="2" fillId="0" borderId="8" xfId="0" applyFont="1" applyBorder="1" applyAlignment="1">
      <alignment horizontal="center"/>
    </xf>
    <xf numFmtId="0" fontId="4" fillId="0" borderId="0" xfId="0" applyFont="1"/>
    <xf numFmtId="0" fontId="0" fillId="55" borderId="1" xfId="0" applyFill="1" applyBorder="1"/>
    <xf numFmtId="0" fontId="0" fillId="0" borderId="8" xfId="0" applyFill="1" applyBorder="1"/>
    <xf numFmtId="0" fontId="1" fillId="0" borderId="0" xfId="0" applyFont="1" applyFill="1" applyBorder="1" applyAlignment="1">
      <alignment horizontal="center"/>
    </xf>
    <xf numFmtId="0" fontId="1" fillId="0" borderId="0" xfId="0" applyFont="1" applyFill="1" applyBorder="1" applyAlignment="1">
      <alignment horizontal="left"/>
    </xf>
    <xf numFmtId="0" fontId="0" fillId="0" borderId="0" xfId="0" quotePrefix="1" applyAlignment="1">
      <alignment wrapText="1"/>
    </xf>
    <xf numFmtId="0" fontId="0" fillId="0" borderId="0" xfId="0" applyAlignment="1">
      <alignment wrapText="1"/>
    </xf>
    <xf numFmtId="0" fontId="1" fillId="0" borderId="0" xfId="0" applyFont="1" applyAlignment="1">
      <alignment wrapText="1"/>
    </xf>
  </cellXfs>
  <cellStyles count="1">
    <cellStyle name="Normal" xfId="0" builtinId="0"/>
  </cellStyles>
  <dxfs count="0"/>
  <tableStyles count="0" defaultTableStyle="TableStyleMedium9" defaultPivotStyle="PivotStyleLight16"/>
  <colors>
    <mruColors>
      <color rgb="FFFEFFFF"/>
      <color rgb="FF0000FF"/>
      <color rgb="FFFFFFCC"/>
      <color rgb="FFFF0000"/>
      <color rgb="FFD40A0F"/>
      <color rgb="FF42A05B"/>
      <color rgb="FF63BE7B"/>
      <color rgb="FFF8696B"/>
      <color rgb="FFFFEB84"/>
      <color rgb="FF00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398689</xdr:colOff>
          <xdr:row>1</xdr:row>
          <xdr:rowOff>85725</xdr:rowOff>
        </xdr:from>
        <xdr:to>
          <xdr:col>8</xdr:col>
          <xdr:colOff>163286</xdr:colOff>
          <xdr:row>4</xdr:row>
          <xdr:rowOff>176893</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B17"/>
  <sheetViews>
    <sheetView showGridLines="0" workbookViewId="0">
      <selection activeCell="B8" sqref="B8"/>
    </sheetView>
  </sheetViews>
  <sheetFormatPr defaultRowHeight="15" x14ac:dyDescent="0.25"/>
  <cols>
    <col min="1" max="1" width="4.42578125" customWidth="1"/>
    <col min="2" max="2" width="79.28515625" customWidth="1"/>
  </cols>
  <sheetData>
    <row r="2" spans="2:2" x14ac:dyDescent="0.25">
      <c r="B2" s="2" t="s">
        <v>12</v>
      </c>
    </row>
    <row r="3" spans="2:2" x14ac:dyDescent="0.25">
      <c r="B3" s="82" t="s">
        <v>18</v>
      </c>
    </row>
    <row r="4" spans="2:2" ht="45" x14ac:dyDescent="0.25">
      <c r="B4" s="82" t="s">
        <v>23</v>
      </c>
    </row>
    <row r="5" spans="2:2" x14ac:dyDescent="0.25">
      <c r="B5" s="82" t="s">
        <v>14</v>
      </c>
    </row>
    <row r="6" spans="2:2" x14ac:dyDescent="0.25">
      <c r="B6" s="83" t="s">
        <v>21</v>
      </c>
    </row>
    <row r="7" spans="2:2" x14ac:dyDescent="0.25">
      <c r="B7" s="82" t="s">
        <v>24</v>
      </c>
    </row>
    <row r="8" spans="2:2" x14ac:dyDescent="0.25">
      <c r="B8" s="83"/>
    </row>
    <row r="9" spans="2:2" ht="45" x14ac:dyDescent="0.25">
      <c r="B9" s="83" t="s">
        <v>19</v>
      </c>
    </row>
    <row r="10" spans="2:2" x14ac:dyDescent="0.25">
      <c r="B10" s="83"/>
    </row>
    <row r="11" spans="2:2" x14ac:dyDescent="0.25">
      <c r="B11" s="84" t="s">
        <v>20</v>
      </c>
    </row>
    <row r="12" spans="2:2" ht="60" x14ac:dyDescent="0.25">
      <c r="B12" s="83" t="s">
        <v>22</v>
      </c>
    </row>
    <row r="13" spans="2:2" x14ac:dyDescent="0.25">
      <c r="B13" s="83"/>
    </row>
    <row r="14" spans="2:2" x14ac:dyDescent="0.25">
      <c r="B14" s="83"/>
    </row>
    <row r="15" spans="2:2" x14ac:dyDescent="0.25">
      <c r="B15" s="83"/>
    </row>
    <row r="16" spans="2:2" x14ac:dyDescent="0.25">
      <c r="B16" s="83"/>
    </row>
    <row r="17" spans="2:2" x14ac:dyDescent="0.25">
      <c r="B17" s="8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O110"/>
  <sheetViews>
    <sheetView showGridLines="0" tabSelected="1" topLeftCell="A40" zoomScale="70" zoomScaleNormal="70" workbookViewId="0">
      <selection activeCell="H8" sqref="H8"/>
    </sheetView>
  </sheetViews>
  <sheetFormatPr defaultRowHeight="15" x14ac:dyDescent="0.25"/>
  <cols>
    <col min="10" max="12" width="7.7109375" customWidth="1"/>
    <col min="14" max="14" width="11.5703125" customWidth="1"/>
    <col min="15" max="15" width="12.5703125" customWidth="1"/>
  </cols>
  <sheetData>
    <row r="1" spans="2:15" x14ac:dyDescent="0.25">
      <c r="K1" s="3"/>
    </row>
    <row r="2" spans="2:15" x14ac:dyDescent="0.25">
      <c r="B2" t="s">
        <v>9</v>
      </c>
      <c r="C2" s="7">
        <v>51</v>
      </c>
      <c r="J2" s="2"/>
    </row>
    <row r="3" spans="2:15" x14ac:dyDescent="0.25">
      <c r="B3" t="s">
        <v>10</v>
      </c>
      <c r="C3" s="1" t="str">
        <f>"E11:G"&amp;10+C2</f>
        <v>E11:G61</v>
      </c>
    </row>
    <row r="4" spans="2:15" x14ac:dyDescent="0.25">
      <c r="B4" t="s">
        <v>11</v>
      </c>
      <c r="C4" s="1" t="str">
        <f>"D11:D"&amp;10+C2</f>
        <v>D11:D61</v>
      </c>
    </row>
    <row r="7" spans="2:15" ht="15.75" thickBot="1" x14ac:dyDescent="0.3"/>
    <row r="8" spans="2:15" ht="15.75" thickBot="1" x14ac:dyDescent="0.3">
      <c r="B8" s="77" t="s">
        <v>13</v>
      </c>
      <c r="D8" s="78" t="s">
        <v>17</v>
      </c>
      <c r="E8" t="s">
        <v>1</v>
      </c>
    </row>
    <row r="10" spans="2:15" ht="15.75" thickBot="1" x14ac:dyDescent="0.3">
      <c r="B10" s="4" t="s">
        <v>2</v>
      </c>
      <c r="C10" s="77" t="s">
        <v>16</v>
      </c>
      <c r="D10" t="s">
        <v>6</v>
      </c>
      <c r="E10" s="6" t="s">
        <v>5</v>
      </c>
      <c r="F10" s="6" t="s">
        <v>4</v>
      </c>
      <c r="G10" s="6" t="s">
        <v>3</v>
      </c>
      <c r="H10" s="6" t="s">
        <v>8</v>
      </c>
      <c r="I10" s="6" t="s">
        <v>7</v>
      </c>
      <c r="J10" s="5" t="s">
        <v>5</v>
      </c>
      <c r="K10" s="5" t="s">
        <v>4</v>
      </c>
      <c r="L10" s="5" t="s">
        <v>3</v>
      </c>
      <c r="M10" s="80" t="s">
        <v>0</v>
      </c>
      <c r="N10" s="81" t="s">
        <v>15</v>
      </c>
      <c r="O10" s="81" t="s">
        <v>6</v>
      </c>
    </row>
    <row r="11" spans="2:15" x14ac:dyDescent="0.25">
      <c r="B11" s="8">
        <v>1</v>
      </c>
      <c r="C11" s="9"/>
      <c r="D11" s="10" t="str">
        <f ca="1">gethexcolor(C11)</f>
        <v>FF0000</v>
      </c>
      <c r="E11" s="11">
        <f ca="1">HEX2DEC(LEFT(D11,2))</f>
        <v>255</v>
      </c>
      <c r="F11" s="11">
        <f ca="1">HEX2DEC(MID(D11,3,2))</f>
        <v>0</v>
      </c>
      <c r="G11" s="11">
        <f ca="1">HEX2DEC(RIGHT(D11,2))</f>
        <v>0</v>
      </c>
      <c r="H11" s="11">
        <f ca="1">nonMatch(D11,TRUE)</f>
        <v>1</v>
      </c>
      <c r="I11" s="11">
        <f ca="1">nonMatch(D11,FALSE)</f>
        <v>1</v>
      </c>
      <c r="J11" s="12">
        <f t="shared" ref="J11:J20" ca="1" si="0">IF($I11=$H11,E11,INDEX(INDIRECT(range),$H11,1)+ROUND(($B11-$H11)/($I11-$H11)*(INDEX(INDIRECT(range),$I11,1)-INDEX(INDIRECT(range),$H11,1)),0))</f>
        <v>255</v>
      </c>
      <c r="K11" s="12">
        <f t="shared" ref="K11:K20" ca="1" si="1">IF($I11=$H11,F11,INDEX(INDIRECT(range),$H11,2)+ROUND(($B11-$H11)/($I11-$H11)*(INDEX(INDIRECT(range),$I11,2)-INDEX(INDIRECT(range),$H11,2)),0))</f>
        <v>0</v>
      </c>
      <c r="L11" s="12">
        <f t="shared" ref="L11:L20" ca="1" si="2">IF($I11=$H11,G11,INDEX(INDIRECT(range),$H11,3)+ROUND(($B11-$H11)/($I11-$H11)*(INDEX(INDIRECT(range),$I11,3)-INDEX(INDIRECT(range),$H11,3)),0))</f>
        <v>0</v>
      </c>
      <c r="M11" s="9"/>
      <c r="N11" s="10" t="str">
        <f t="shared" ref="N11:N36" ca="1" si="3">getnewcolor(M11)</f>
        <v>16711680</v>
      </c>
      <c r="O11" s="13" t="str">
        <f ca="1">gethexcolor(M11)</f>
        <v>FF0000</v>
      </c>
    </row>
    <row r="12" spans="2:15" x14ac:dyDescent="0.25">
      <c r="B12" s="14">
        <f>+B11+1</f>
        <v>2</v>
      </c>
      <c r="C12" s="21"/>
      <c r="D12" s="15" t="str">
        <f t="shared" ref="D12:D35" ca="1" si="4">gethexcolor(C12)</f>
        <v>FFFFFF</v>
      </c>
      <c r="E12" s="16">
        <f t="shared" ref="E12:E20" ca="1" si="5">HEX2DEC(LEFT(D12,2))</f>
        <v>255</v>
      </c>
      <c r="F12" s="16">
        <f t="shared" ref="F12:F20" ca="1" si="6">HEX2DEC(MID(D12,3,2))</f>
        <v>255</v>
      </c>
      <c r="G12" s="16">
        <f t="shared" ref="G12:G20" ca="1" si="7">HEX2DEC(RIGHT(D12,2))</f>
        <v>255</v>
      </c>
      <c r="H12" s="16">
        <f ca="1">nonMatch(D12,TRUE)</f>
        <v>1</v>
      </c>
      <c r="I12" s="16">
        <f ca="1">nonMatch(D12,FALSE)</f>
        <v>26</v>
      </c>
      <c r="J12" s="17">
        <f t="shared" ca="1" si="0"/>
        <v>254</v>
      </c>
      <c r="K12" s="17">
        <f t="shared" ca="1" si="1"/>
        <v>10</v>
      </c>
      <c r="L12" s="17">
        <f t="shared" ca="1" si="2"/>
        <v>10</v>
      </c>
      <c r="M12" s="18"/>
      <c r="N12" s="15" t="str">
        <f t="shared" ref="N12:N20" ca="1" si="8">getnewcolor(M12)</f>
        <v>16648714</v>
      </c>
      <c r="O12" s="19" t="str">
        <f t="shared" ref="O12:O20" ca="1" si="9">gethexcolor(M12)</f>
        <v>FE0A0A</v>
      </c>
    </row>
    <row r="13" spans="2:15" x14ac:dyDescent="0.25">
      <c r="B13" s="14">
        <f>IFERROR(IF(B12+1&gt;steps,"",B12+1),"")</f>
        <v>3</v>
      </c>
      <c r="C13" s="21"/>
      <c r="D13" s="15" t="str">
        <f ca="1">IF(ROW()&gt;steps+10,"",gethexcolor(C13))</f>
        <v>FFFFFF</v>
      </c>
      <c r="E13" s="16">
        <f ca="1">IF(ROW()&gt;steps+10,"",HEX2DEC(LEFT(D13,2)))</f>
        <v>255</v>
      </c>
      <c r="F13" s="16">
        <f ca="1">IF(ROW()&gt;steps+10,"",HEX2DEC(MID(D13,3,2)))</f>
        <v>255</v>
      </c>
      <c r="G13" s="16">
        <f ca="1">IF(ROW()&gt;steps+10,"",HEX2DEC(RIGHT(D13,2)))</f>
        <v>255</v>
      </c>
      <c r="H13" s="16">
        <f ca="1">IF(ROW()&gt;steps+10,"",nonMatch(D13,TRUE))</f>
        <v>1</v>
      </c>
      <c r="I13" s="16">
        <f ca="1">IF(ROW()&gt;steps+10,"",nonMatch(D13,FALSE))</f>
        <v>26</v>
      </c>
      <c r="J13" s="17">
        <f ca="1">IF(ROW()&gt;steps+10,"",IF($I13=$H13,E13,INDEX(INDIRECT(range),$H13,1)+ROUND(($B13-$H13)/($I13-$H13)*(INDEX(INDIRECT(range),$I13,1)-INDEX(INDIRECT(range),$H13,1)),0)))</f>
        <v>254</v>
      </c>
      <c r="K13" s="17">
        <f ca="1">IF(ROW()&gt;steps+10,"",IF($I13=$H13,F13,INDEX(INDIRECT(range),$H13,2)+ROUND(($B13-$H13)/($I13-$H13)*(INDEX(INDIRECT(range),$I13,2)-INDEX(INDIRECT(range),$H13,2)),0)))</f>
        <v>19</v>
      </c>
      <c r="L13" s="17">
        <f ca="1">IF(ROW()&gt;steps+10,"",IF($I13=$H13,G13,INDEX(INDIRECT(range),$H13,3)+ROUND(($B13-$H13)/($I13-$H13)*(INDEX(INDIRECT(range),$I13,3)-INDEX(INDIRECT(range),$H13,3)),0)))</f>
        <v>19</v>
      </c>
      <c r="M13" s="20"/>
      <c r="N13" s="15" t="str">
        <f ca="1">IF(ROW()&gt;steps+10,"",getnewcolor(M13))</f>
        <v>16651027</v>
      </c>
      <c r="O13" s="19" t="str">
        <f ca="1">IF(ROW()&gt;steps+10,"",gethexcolor(M13))</f>
        <v>FE1313</v>
      </c>
    </row>
    <row r="14" spans="2:15" x14ac:dyDescent="0.25">
      <c r="B14" s="14">
        <f>IFERROR(IF(B13+1&gt;steps,"",B13+1),"")</f>
        <v>4</v>
      </c>
      <c r="C14" s="21"/>
      <c r="D14" s="15" t="str">
        <f ca="1">IF(ROW()&gt;steps+10,"",gethexcolor(C14))</f>
        <v>FFFFFF</v>
      </c>
      <c r="E14" s="16">
        <f ca="1">IF(ROW()&gt;steps+10,"",HEX2DEC(LEFT(D14,2)))</f>
        <v>255</v>
      </c>
      <c r="F14" s="16">
        <f ca="1">IF(ROW()&gt;steps+10,"",HEX2DEC(MID(D14,3,2)))</f>
        <v>255</v>
      </c>
      <c r="G14" s="16">
        <f ca="1">IF(ROW()&gt;steps+10,"",HEX2DEC(RIGHT(D14,2)))</f>
        <v>255</v>
      </c>
      <c r="H14" s="16">
        <f ca="1">IF(ROW()&gt;steps+10,"",nonMatch(D14,TRUE))</f>
        <v>1</v>
      </c>
      <c r="I14" s="16">
        <f ca="1">IF(ROW()&gt;steps+10,"",nonMatch(D14,FALSE))</f>
        <v>26</v>
      </c>
      <c r="J14" s="17">
        <f ca="1">IF(ROW()&gt;steps+10,"",IF($I14=$H14,E14,INDEX(INDIRECT(range),$H14,1)+ROUND(($B14-$H14)/($I14-$H14)*(INDEX(INDIRECT(range),$I14,1)-INDEX(INDIRECT(range),$H14,1)),0)))</f>
        <v>253</v>
      </c>
      <c r="K14" s="17">
        <f ca="1">IF(ROW()&gt;steps+10,"",IF($I14=$H14,F14,INDEX(INDIRECT(range),$H14,2)+ROUND(($B14-$H14)/($I14-$H14)*(INDEX(INDIRECT(range),$I14,2)-INDEX(INDIRECT(range),$H14,2)),0)))</f>
        <v>29</v>
      </c>
      <c r="L14" s="17">
        <f ca="1">IF(ROW()&gt;steps+10,"",IF($I14=$H14,G14,INDEX(INDIRECT(range),$H14,3)+ROUND(($B14-$H14)/($I14-$H14)*(INDEX(INDIRECT(range),$I14,3)-INDEX(INDIRECT(range),$H14,3)),0)))</f>
        <v>29</v>
      </c>
      <c r="M14" s="22"/>
      <c r="N14" s="15" t="str">
        <f ca="1">IF(ROW()&gt;steps+10,"",getnewcolor(M14))</f>
        <v>16588061</v>
      </c>
      <c r="O14" s="19" t="str">
        <f ca="1">IF(ROW()&gt;steps+10,"",gethexcolor(M14))</f>
        <v>FD1D1D</v>
      </c>
    </row>
    <row r="15" spans="2:15" x14ac:dyDescent="0.25">
      <c r="B15" s="14">
        <f>IFERROR(IF(B14+1&gt;steps,"",B14+1),"")</f>
        <v>5</v>
      </c>
      <c r="C15" s="21"/>
      <c r="D15" s="15" t="str">
        <f ca="1">IF(ROW()&gt;steps+10,"",gethexcolor(C15))</f>
        <v>FFFFFF</v>
      </c>
      <c r="E15" s="16">
        <f ca="1">IF(ROW()&gt;steps+10,"",HEX2DEC(LEFT(D15,2)))</f>
        <v>255</v>
      </c>
      <c r="F15" s="16">
        <f ca="1">IF(ROW()&gt;steps+10,"",HEX2DEC(MID(D15,3,2)))</f>
        <v>255</v>
      </c>
      <c r="G15" s="16">
        <f ca="1">IF(ROW()&gt;steps+10,"",HEX2DEC(RIGHT(D15,2)))</f>
        <v>255</v>
      </c>
      <c r="H15" s="16">
        <f ca="1">IF(ROW()&gt;steps+10,"",nonMatch(D15,TRUE))</f>
        <v>1</v>
      </c>
      <c r="I15" s="16">
        <f ca="1">IF(ROW()&gt;steps+10,"",nonMatch(D15,FALSE))</f>
        <v>26</v>
      </c>
      <c r="J15" s="17">
        <f ca="1">IF(ROW()&gt;steps+10,"",IF($I15=$H15,E15,INDEX(INDIRECT(range),$H15,1)+ROUND(($B15-$H15)/($I15-$H15)*(INDEX(INDIRECT(range),$I15,1)-INDEX(INDIRECT(range),$H15,1)),0)))</f>
        <v>253</v>
      </c>
      <c r="K15" s="17">
        <f ca="1">IF(ROW()&gt;steps+10,"",IF($I15=$H15,F15,INDEX(INDIRECT(range),$H15,2)+ROUND(($B15-$H15)/($I15-$H15)*(INDEX(INDIRECT(range),$I15,2)-INDEX(INDIRECT(range),$H15,2)),0)))</f>
        <v>39</v>
      </c>
      <c r="L15" s="17">
        <f ca="1">IF(ROW()&gt;steps+10,"",IF($I15=$H15,G15,INDEX(INDIRECT(range),$H15,3)+ROUND(($B15-$H15)/($I15-$H15)*(INDEX(INDIRECT(range),$I15,3)-INDEX(INDIRECT(range),$H15,3)),0)))</f>
        <v>39</v>
      </c>
      <c r="M15" s="23"/>
      <c r="N15" s="15" t="str">
        <f ca="1">IF(ROW()&gt;steps+10,"",getnewcolor(M15))</f>
        <v>16590631</v>
      </c>
      <c r="O15" s="19" t="str">
        <f ca="1">IF(ROW()&gt;steps+10,"",gethexcolor(M15))</f>
        <v>FD2727</v>
      </c>
    </row>
    <row r="16" spans="2:15" x14ac:dyDescent="0.25">
      <c r="B16" s="14">
        <f>IFERROR(IF(B15+1&gt;steps,"",B15+1),"")</f>
        <v>6</v>
      </c>
      <c r="C16" s="21"/>
      <c r="D16" s="15" t="str">
        <f ca="1">IF(ROW()&gt;steps+10,"",gethexcolor(C16))</f>
        <v>FFFFFF</v>
      </c>
      <c r="E16" s="16">
        <f ca="1">IF(ROW()&gt;steps+10,"",HEX2DEC(LEFT(D16,2)))</f>
        <v>255</v>
      </c>
      <c r="F16" s="16">
        <f ca="1">IF(ROW()&gt;steps+10,"",HEX2DEC(MID(D16,3,2)))</f>
        <v>255</v>
      </c>
      <c r="G16" s="16">
        <f ca="1">IF(ROW()&gt;steps+10,"",HEX2DEC(RIGHT(D16,2)))</f>
        <v>255</v>
      </c>
      <c r="H16" s="16">
        <f ca="1">IF(ROW()&gt;steps+10,"",nonMatch(D16,TRUE))</f>
        <v>1</v>
      </c>
      <c r="I16" s="16">
        <f ca="1">IF(ROW()&gt;steps+10,"",nonMatch(D16,FALSE))</f>
        <v>26</v>
      </c>
      <c r="J16" s="17">
        <f ca="1">IF(ROW()&gt;steps+10,"",IF($I16=$H16,E16,INDEX(INDIRECT(range),$H16,1)+ROUND(($B16-$H16)/($I16-$H16)*(INDEX(INDIRECT(range),$I16,1)-INDEX(INDIRECT(range),$H16,1)),0)))</f>
        <v>252</v>
      </c>
      <c r="K16" s="17">
        <f ca="1">IF(ROW()&gt;steps+10,"",IF($I16=$H16,F16,INDEX(INDIRECT(range),$H16,2)+ROUND(($B16-$H16)/($I16-$H16)*(INDEX(INDIRECT(range),$I16,2)-INDEX(INDIRECT(range),$H16,2)),0)))</f>
        <v>48</v>
      </c>
      <c r="L16" s="17">
        <f ca="1">IF(ROW()&gt;steps+10,"",IF($I16=$H16,G16,INDEX(INDIRECT(range),$H16,3)+ROUND(($B16-$H16)/($I16-$H16)*(INDEX(INDIRECT(range),$I16,3)-INDEX(INDIRECT(range),$H16,3)),0)))</f>
        <v>48</v>
      </c>
      <c r="M16" s="24"/>
      <c r="N16" s="15" t="str">
        <f ca="1">IF(ROW()&gt;steps+10,"",getnewcolor(M16))</f>
        <v>16527408</v>
      </c>
      <c r="O16" s="19" t="str">
        <f ca="1">IF(ROW()&gt;steps+10,"",gethexcolor(M16))</f>
        <v>FC3030</v>
      </c>
    </row>
    <row r="17" spans="2:15" x14ac:dyDescent="0.25">
      <c r="B17" s="14">
        <f>IFERROR(IF(B16+1&gt;steps,"",B16+1),"")</f>
        <v>7</v>
      </c>
      <c r="C17" s="21"/>
      <c r="D17" s="15" t="str">
        <f ca="1">IF(ROW()&gt;steps+10,"",gethexcolor(C17))</f>
        <v>FFFFFF</v>
      </c>
      <c r="E17" s="16">
        <f ca="1">IF(ROW()&gt;steps+10,"",HEX2DEC(LEFT(D17,2)))</f>
        <v>255</v>
      </c>
      <c r="F17" s="16">
        <f ca="1">IF(ROW()&gt;steps+10,"",HEX2DEC(MID(D17,3,2)))</f>
        <v>255</v>
      </c>
      <c r="G17" s="16">
        <f ca="1">IF(ROW()&gt;steps+10,"",HEX2DEC(RIGHT(D17,2)))</f>
        <v>255</v>
      </c>
      <c r="H17" s="16">
        <f ca="1">IF(ROW()&gt;steps+10,"",nonMatch(D17,TRUE))</f>
        <v>1</v>
      </c>
      <c r="I17" s="16">
        <f ca="1">IF(ROW()&gt;steps+10,"",nonMatch(D17,FALSE))</f>
        <v>26</v>
      </c>
      <c r="J17" s="17">
        <f ca="1">IF(ROW()&gt;steps+10,"",IF($I17=$H17,E17,INDEX(INDIRECT(range),$H17,1)+ROUND(($B17-$H17)/($I17-$H17)*(INDEX(INDIRECT(range),$I17,1)-INDEX(INDIRECT(range),$H17,1)),0)))</f>
        <v>252</v>
      </c>
      <c r="K17" s="17">
        <f ca="1">IF(ROW()&gt;steps+10,"",IF($I17=$H17,F17,INDEX(INDIRECT(range),$H17,2)+ROUND(($B17-$H17)/($I17-$H17)*(INDEX(INDIRECT(range),$I17,2)-INDEX(INDIRECT(range),$H17,2)),0)))</f>
        <v>58</v>
      </c>
      <c r="L17" s="17">
        <f ca="1">IF(ROW()&gt;steps+10,"",IF($I17=$H17,G17,INDEX(INDIRECT(range),$H17,3)+ROUND(($B17-$H17)/($I17-$H17)*(INDEX(INDIRECT(range),$I17,3)-INDEX(INDIRECT(range),$H17,3)),0)))</f>
        <v>58</v>
      </c>
      <c r="M17" s="25"/>
      <c r="N17" s="15" t="str">
        <f ca="1">IF(ROW()&gt;steps+10,"",getnewcolor(M17))</f>
        <v>16529978</v>
      </c>
      <c r="O17" s="19" t="str">
        <f ca="1">IF(ROW()&gt;steps+10,"",gethexcolor(M17))</f>
        <v>FC3A3A</v>
      </c>
    </row>
    <row r="18" spans="2:15" x14ac:dyDescent="0.25">
      <c r="B18" s="14">
        <f>IFERROR(IF(B17+1&gt;steps,"",B17+1),"")</f>
        <v>8</v>
      </c>
      <c r="C18" s="21"/>
      <c r="D18" s="15" t="str">
        <f ca="1">IF(ROW()&gt;steps+10,"",gethexcolor(C18))</f>
        <v>FFFFFF</v>
      </c>
      <c r="E18" s="16">
        <f ca="1">IF(ROW()&gt;steps+10,"",HEX2DEC(LEFT(D18,2)))</f>
        <v>255</v>
      </c>
      <c r="F18" s="16">
        <f ca="1">IF(ROW()&gt;steps+10,"",HEX2DEC(MID(D18,3,2)))</f>
        <v>255</v>
      </c>
      <c r="G18" s="16">
        <f ca="1">IF(ROW()&gt;steps+10,"",HEX2DEC(RIGHT(D18,2)))</f>
        <v>255</v>
      </c>
      <c r="H18" s="16">
        <f ca="1">IF(ROW()&gt;steps+10,"",nonMatch(D18,TRUE))</f>
        <v>1</v>
      </c>
      <c r="I18" s="16">
        <f ca="1">IF(ROW()&gt;steps+10,"",nonMatch(D18,FALSE))</f>
        <v>26</v>
      </c>
      <c r="J18" s="17">
        <f ca="1">IF(ROW()&gt;steps+10,"",IF($I18=$H18,E18,INDEX(INDIRECT(range),$H18,1)+ROUND(($B18-$H18)/($I18-$H18)*(INDEX(INDIRECT(range),$I18,1)-INDEX(INDIRECT(range),$H18,1)),0)))</f>
        <v>251</v>
      </c>
      <c r="K18" s="17">
        <f ca="1">IF(ROW()&gt;steps+10,"",IF($I18=$H18,F18,INDEX(INDIRECT(range),$H18,2)+ROUND(($B18-$H18)/($I18-$H18)*(INDEX(INDIRECT(range),$I18,2)-INDEX(INDIRECT(range),$H18,2)),0)))</f>
        <v>68</v>
      </c>
      <c r="L18" s="17">
        <f ca="1">IF(ROW()&gt;steps+10,"",IF($I18=$H18,G18,INDEX(INDIRECT(range),$H18,3)+ROUND(($B18-$H18)/($I18-$H18)*(INDEX(INDIRECT(range),$I18,3)-INDEX(INDIRECT(range),$H18,3)),0)))</f>
        <v>68</v>
      </c>
      <c r="M18" s="26"/>
      <c r="N18" s="15" t="str">
        <f ca="1">IF(ROW()&gt;steps+10,"",getnewcolor(M18))</f>
        <v>16467012</v>
      </c>
      <c r="O18" s="19" t="str">
        <f ca="1">IF(ROW()&gt;steps+10,"",gethexcolor(M18))</f>
        <v>FB4444</v>
      </c>
    </row>
    <row r="19" spans="2:15" x14ac:dyDescent="0.25">
      <c r="B19" s="14">
        <f>IFERROR(IF(B18+1&gt;steps,"",B18+1),"")</f>
        <v>9</v>
      </c>
      <c r="C19" s="21"/>
      <c r="D19" s="15" t="str">
        <f ca="1">IF(ROW()&gt;steps+10,"",gethexcolor(C19))</f>
        <v>FFFFFF</v>
      </c>
      <c r="E19" s="16">
        <f ca="1">IF(ROW()&gt;steps+10,"",HEX2DEC(LEFT(D19,2)))</f>
        <v>255</v>
      </c>
      <c r="F19" s="16">
        <f ca="1">IF(ROW()&gt;steps+10,"",HEX2DEC(MID(D19,3,2)))</f>
        <v>255</v>
      </c>
      <c r="G19" s="16">
        <f ca="1">IF(ROW()&gt;steps+10,"",HEX2DEC(RIGHT(D19,2)))</f>
        <v>255</v>
      </c>
      <c r="H19" s="16">
        <f ca="1">IF(ROW()&gt;steps+10,"",nonMatch(D19,TRUE))</f>
        <v>1</v>
      </c>
      <c r="I19" s="16">
        <f ca="1">IF(ROW()&gt;steps+10,"",nonMatch(D19,FALSE))</f>
        <v>26</v>
      </c>
      <c r="J19" s="17">
        <f ca="1">IF(ROW()&gt;steps+10,"",IF($I19=$H19,E19,INDEX(INDIRECT(range),$H19,1)+ROUND(($B19-$H19)/($I19-$H19)*(INDEX(INDIRECT(range),$I19,1)-INDEX(INDIRECT(range),$H19,1)),0)))</f>
        <v>251</v>
      </c>
      <c r="K19" s="17">
        <f ca="1">IF(ROW()&gt;steps+10,"",IF($I19=$H19,F19,INDEX(INDIRECT(range),$H19,2)+ROUND(($B19-$H19)/($I19-$H19)*(INDEX(INDIRECT(range),$I19,2)-INDEX(INDIRECT(range),$H19,2)),0)))</f>
        <v>77</v>
      </c>
      <c r="L19" s="17">
        <f ca="1">IF(ROW()&gt;steps+10,"",IF($I19=$H19,G19,INDEX(INDIRECT(range),$H19,3)+ROUND(($B19-$H19)/($I19-$H19)*(INDEX(INDIRECT(range),$I19,3)-INDEX(INDIRECT(range),$H19,3)),0)))</f>
        <v>77</v>
      </c>
      <c r="M19" s="27"/>
      <c r="N19" s="15" t="str">
        <f ca="1">IF(ROW()&gt;steps+10,"",getnewcolor(M19))</f>
        <v>16469325</v>
      </c>
      <c r="O19" s="19" t="str">
        <f ca="1">IF(ROW()&gt;steps+10,"",gethexcolor(M19))</f>
        <v>FB4D4D</v>
      </c>
    </row>
    <row r="20" spans="2:15" x14ac:dyDescent="0.25">
      <c r="B20" s="14">
        <f>IFERROR(IF(B19+1&gt;steps,"",B19+1),"")</f>
        <v>10</v>
      </c>
      <c r="C20" s="21"/>
      <c r="D20" s="15" t="str">
        <f ca="1">IF(ROW()&gt;steps+10,"",gethexcolor(C20))</f>
        <v>FFFFFF</v>
      </c>
      <c r="E20" s="16">
        <f ca="1">IF(ROW()&gt;steps+10,"",HEX2DEC(LEFT(D20,2)))</f>
        <v>255</v>
      </c>
      <c r="F20" s="16">
        <f ca="1">IF(ROW()&gt;steps+10,"",HEX2DEC(MID(D20,3,2)))</f>
        <v>255</v>
      </c>
      <c r="G20" s="16">
        <f ca="1">IF(ROW()&gt;steps+10,"",HEX2DEC(RIGHT(D20,2)))</f>
        <v>255</v>
      </c>
      <c r="H20" s="16">
        <f ca="1">IF(ROW()&gt;steps+10,"",nonMatch(D20,TRUE))</f>
        <v>1</v>
      </c>
      <c r="I20" s="16">
        <f ca="1">IF(ROW()&gt;steps+10,"",nonMatch(D20,FALSE))</f>
        <v>26</v>
      </c>
      <c r="J20" s="17">
        <f ca="1">IF(ROW()&gt;steps+10,"",IF($I20=$H20,E20,INDEX(INDIRECT(range),$H20,1)+ROUND(($B20-$H20)/($I20-$H20)*(INDEX(INDIRECT(range),$I20,1)-INDEX(INDIRECT(range),$H20,1)),0)))</f>
        <v>250</v>
      </c>
      <c r="K20" s="17">
        <f ca="1">IF(ROW()&gt;steps+10,"",IF($I20=$H20,F20,INDEX(INDIRECT(range),$H20,2)+ROUND(($B20-$H20)/($I20-$H20)*(INDEX(INDIRECT(range),$I20,2)-INDEX(INDIRECT(range),$H20,2)),0)))</f>
        <v>87</v>
      </c>
      <c r="L20" s="17">
        <f ca="1">IF(ROW()&gt;steps+10,"",IF($I20=$H20,G20,INDEX(INDIRECT(range),$H20,3)+ROUND(($B20-$H20)/($I20-$H20)*(INDEX(INDIRECT(range),$I20,3)-INDEX(INDIRECT(range),$H20,3)),0)))</f>
        <v>87</v>
      </c>
      <c r="M20" s="28"/>
      <c r="N20" s="15" t="str">
        <f ca="1">IF(ROW()&gt;steps+10,"",getnewcolor(M20))</f>
        <v>16406359</v>
      </c>
      <c r="O20" s="19" t="str">
        <f ca="1">IF(ROW()&gt;steps+10,"",gethexcolor(M20))</f>
        <v>FA5757</v>
      </c>
    </row>
    <row r="21" spans="2:15" x14ac:dyDescent="0.25">
      <c r="B21" s="14">
        <f>IFERROR(IF(B20+1&gt;steps,"",B20+1),"")</f>
        <v>11</v>
      </c>
      <c r="C21" s="21"/>
      <c r="D21" s="15" t="str">
        <f ca="1">IF(ROW()&gt;steps+10,"",gethexcolor(C21))</f>
        <v>FFFFFF</v>
      </c>
      <c r="E21" s="16">
        <f ca="1">IF(ROW()&gt;steps+10,"",HEX2DEC(LEFT(D21,2)))</f>
        <v>255</v>
      </c>
      <c r="F21" s="16">
        <f ca="1">IF(ROW()&gt;steps+10,"",HEX2DEC(MID(D21,3,2)))</f>
        <v>255</v>
      </c>
      <c r="G21" s="16">
        <f ca="1">IF(ROW()&gt;steps+10,"",HEX2DEC(RIGHT(D21,2)))</f>
        <v>255</v>
      </c>
      <c r="H21" s="16">
        <f ca="1">IF(ROW()&gt;steps+10,"",nonMatch(D21,TRUE))</f>
        <v>1</v>
      </c>
      <c r="I21" s="16">
        <f ca="1">IF(ROW()&gt;steps+10,"",nonMatch(D21,FALSE))</f>
        <v>26</v>
      </c>
      <c r="J21" s="17">
        <f ca="1">IF(ROW()&gt;steps+10,"",IF($I21=$H21,E21,INDEX(INDIRECT(range),$H21,1)+ROUND(($B21-$H21)/($I21-$H21)*(INDEX(INDIRECT(range),$I21,1)-INDEX(INDIRECT(range),$H21,1)),0)))</f>
        <v>250</v>
      </c>
      <c r="K21" s="17">
        <f ca="1">IF(ROW()&gt;steps+10,"",IF($I21=$H21,F21,INDEX(INDIRECT(range),$H21,2)+ROUND(($B21-$H21)/($I21-$H21)*(INDEX(INDIRECT(range),$I21,2)-INDEX(INDIRECT(range),$H21,2)),0)))</f>
        <v>97</v>
      </c>
      <c r="L21" s="17">
        <f ca="1">IF(ROW()&gt;steps+10,"",IF($I21=$H21,G21,INDEX(INDIRECT(range),$H21,3)+ROUND(($B21-$H21)/($I21-$H21)*(INDEX(INDIRECT(range),$I21,3)-INDEX(INDIRECT(range),$H21,3)),0)))</f>
        <v>97</v>
      </c>
      <c r="M21" s="29"/>
      <c r="N21" s="15" t="str">
        <f ca="1">IF(ROW()&gt;steps+10,"",getnewcolor(M21))</f>
        <v>16408929</v>
      </c>
      <c r="O21" s="19" t="str">
        <f ca="1">IF(ROW()&gt;steps+10,"",gethexcolor(M21))</f>
        <v>FA6161</v>
      </c>
    </row>
    <row r="22" spans="2:15" x14ac:dyDescent="0.25">
      <c r="B22" s="14">
        <f>IFERROR(IF(B21+1&gt;steps,"",B21+1),"")</f>
        <v>12</v>
      </c>
      <c r="C22" s="21"/>
      <c r="D22" s="15" t="str">
        <f ca="1">IF(ROW()&gt;steps+10,"",gethexcolor(C22))</f>
        <v>FFFFFF</v>
      </c>
      <c r="E22" s="16">
        <f ca="1">IF(ROW()&gt;steps+10,"",HEX2DEC(LEFT(D22,2)))</f>
        <v>255</v>
      </c>
      <c r="F22" s="16">
        <f ca="1">IF(ROW()&gt;steps+10,"",HEX2DEC(MID(D22,3,2)))</f>
        <v>255</v>
      </c>
      <c r="G22" s="16">
        <f ca="1">IF(ROW()&gt;steps+10,"",HEX2DEC(RIGHT(D22,2)))</f>
        <v>255</v>
      </c>
      <c r="H22" s="16">
        <f ca="1">IF(ROW()&gt;steps+10,"",nonMatch(D22,TRUE))</f>
        <v>1</v>
      </c>
      <c r="I22" s="16">
        <f ca="1">IF(ROW()&gt;steps+10,"",nonMatch(D22,FALSE))</f>
        <v>26</v>
      </c>
      <c r="J22" s="17">
        <f ca="1">IF(ROW()&gt;steps+10,"",IF($I22=$H22,E22,INDEX(INDIRECT(range),$H22,1)+ROUND(($B22-$H22)/($I22-$H22)*(INDEX(INDIRECT(range),$I22,1)-INDEX(INDIRECT(range),$H22,1)),0)))</f>
        <v>249</v>
      </c>
      <c r="K22" s="17">
        <f ca="1">IF(ROW()&gt;steps+10,"",IF($I22=$H22,F22,INDEX(INDIRECT(range),$H22,2)+ROUND(($B22-$H22)/($I22-$H22)*(INDEX(INDIRECT(range),$I22,2)-INDEX(INDIRECT(range),$H22,2)),0)))</f>
        <v>106</v>
      </c>
      <c r="L22" s="17">
        <f ca="1">IF(ROW()&gt;steps+10,"",IF($I22=$H22,G22,INDEX(INDIRECT(range),$H22,3)+ROUND(($B22-$H22)/($I22-$H22)*(INDEX(INDIRECT(range),$I22,3)-INDEX(INDIRECT(range),$H22,3)),0)))</f>
        <v>106</v>
      </c>
      <c r="M22" s="30"/>
      <c r="N22" s="15" t="str">
        <f ca="1">IF(ROW()&gt;steps+10,"",getnewcolor(M22))</f>
        <v>16345706</v>
      </c>
      <c r="O22" s="19" t="str">
        <f ca="1">IF(ROW()&gt;steps+10,"",gethexcolor(M22))</f>
        <v>F96A6A</v>
      </c>
    </row>
    <row r="23" spans="2:15" x14ac:dyDescent="0.25">
      <c r="B23" s="14">
        <f>IFERROR(IF(B22+1&gt;steps,"",B22+1),"")</f>
        <v>13</v>
      </c>
      <c r="C23" s="21"/>
      <c r="D23" s="15" t="str">
        <f ca="1">IF(ROW()&gt;steps+10,"",gethexcolor(C23))</f>
        <v>FFFFFF</v>
      </c>
      <c r="E23" s="16">
        <f ca="1">IF(ROW()&gt;steps+10,"",HEX2DEC(LEFT(D23,2)))</f>
        <v>255</v>
      </c>
      <c r="F23" s="16">
        <f ca="1">IF(ROW()&gt;steps+10,"",HEX2DEC(MID(D23,3,2)))</f>
        <v>255</v>
      </c>
      <c r="G23" s="16">
        <f ca="1">IF(ROW()&gt;steps+10,"",HEX2DEC(RIGHT(D23,2)))</f>
        <v>255</v>
      </c>
      <c r="H23" s="16">
        <f ca="1">IF(ROW()&gt;steps+10,"",nonMatch(D23,TRUE))</f>
        <v>1</v>
      </c>
      <c r="I23" s="16">
        <f ca="1">IF(ROW()&gt;steps+10,"",nonMatch(D23,FALSE))</f>
        <v>26</v>
      </c>
      <c r="J23" s="17">
        <f ca="1">IF(ROW()&gt;steps+10,"",IF($I23=$H23,E23,INDEX(INDIRECT(range),$H23,1)+ROUND(($B23-$H23)/($I23-$H23)*(INDEX(INDIRECT(range),$I23,1)-INDEX(INDIRECT(range),$H23,1)),0)))</f>
        <v>249</v>
      </c>
      <c r="K23" s="17">
        <f ca="1">IF(ROW()&gt;steps+10,"",IF($I23=$H23,F23,INDEX(INDIRECT(range),$H23,2)+ROUND(($B23-$H23)/($I23-$H23)*(INDEX(INDIRECT(range),$I23,2)-INDEX(INDIRECT(range),$H23,2)),0)))</f>
        <v>116</v>
      </c>
      <c r="L23" s="17">
        <f ca="1">IF(ROW()&gt;steps+10,"",IF($I23=$H23,G23,INDEX(INDIRECT(range),$H23,3)+ROUND(($B23-$H23)/($I23-$H23)*(INDEX(INDIRECT(range),$I23,3)-INDEX(INDIRECT(range),$H23,3)),0)))</f>
        <v>116</v>
      </c>
      <c r="M23" s="31"/>
      <c r="N23" s="15" t="str">
        <f ca="1">IF(ROW()&gt;steps+10,"",getnewcolor(M23))</f>
        <v>16348276</v>
      </c>
      <c r="O23" s="19" t="str">
        <f ca="1">IF(ROW()&gt;steps+10,"",gethexcolor(M23))</f>
        <v>F97474</v>
      </c>
    </row>
    <row r="24" spans="2:15" x14ac:dyDescent="0.25">
      <c r="B24" s="14">
        <f>IFERROR(IF(B23+1&gt;steps,"",B23+1),"")</f>
        <v>14</v>
      </c>
      <c r="C24" s="21"/>
      <c r="D24" s="15" t="str">
        <f ca="1">IF(ROW()&gt;steps+10,"",gethexcolor(C24))</f>
        <v>FFFFFF</v>
      </c>
      <c r="E24" s="16">
        <f ca="1">IF(ROW()&gt;steps+10,"",HEX2DEC(LEFT(D24,2)))</f>
        <v>255</v>
      </c>
      <c r="F24" s="16">
        <f ca="1">IF(ROW()&gt;steps+10,"",HEX2DEC(MID(D24,3,2)))</f>
        <v>255</v>
      </c>
      <c r="G24" s="16">
        <f ca="1">IF(ROW()&gt;steps+10,"",HEX2DEC(RIGHT(D24,2)))</f>
        <v>255</v>
      </c>
      <c r="H24" s="16">
        <f ca="1">IF(ROW()&gt;steps+10,"",nonMatch(D24,TRUE))</f>
        <v>1</v>
      </c>
      <c r="I24" s="16">
        <f ca="1">IF(ROW()&gt;steps+10,"",nonMatch(D24,FALSE))</f>
        <v>26</v>
      </c>
      <c r="J24" s="17">
        <f ca="1">IF(ROW()&gt;steps+10,"",IF($I24=$H24,E24,INDEX(INDIRECT(range),$H24,1)+ROUND(($B24-$H24)/($I24-$H24)*(INDEX(INDIRECT(range),$I24,1)-INDEX(INDIRECT(range),$H24,1)),0)))</f>
        <v>248</v>
      </c>
      <c r="K24" s="17">
        <f ca="1">IF(ROW()&gt;steps+10,"",IF($I24=$H24,F24,INDEX(INDIRECT(range),$H24,2)+ROUND(($B24-$H24)/($I24-$H24)*(INDEX(INDIRECT(range),$I24,2)-INDEX(INDIRECT(range),$H24,2)),0)))</f>
        <v>126</v>
      </c>
      <c r="L24" s="17">
        <f ca="1">IF(ROW()&gt;steps+10,"",IF($I24=$H24,G24,INDEX(INDIRECT(range),$H24,3)+ROUND(($B24-$H24)/($I24-$H24)*(INDEX(INDIRECT(range),$I24,3)-INDEX(INDIRECT(range),$H24,3)),0)))</f>
        <v>126</v>
      </c>
      <c r="M24" s="32"/>
      <c r="N24" s="15" t="str">
        <f ca="1">IF(ROW()&gt;steps+10,"",getnewcolor(M24))</f>
        <v>16285310</v>
      </c>
      <c r="O24" s="19" t="str">
        <f ca="1">IF(ROW()&gt;steps+10,"",gethexcolor(M24))</f>
        <v>F87E7E</v>
      </c>
    </row>
    <row r="25" spans="2:15" x14ac:dyDescent="0.25">
      <c r="B25" s="14">
        <f>IFERROR(IF(B24+1&gt;steps,"",B24+1),"")</f>
        <v>15</v>
      </c>
      <c r="C25" s="33"/>
      <c r="D25" s="15" t="str">
        <f ca="1">IF(ROW()&gt;steps+10,"",gethexcolor(C25))</f>
        <v>FFFFFF</v>
      </c>
      <c r="E25" s="16">
        <f ca="1">IF(ROW()&gt;steps+10,"",HEX2DEC(LEFT(D25,2)))</f>
        <v>255</v>
      </c>
      <c r="F25" s="16">
        <f ca="1">IF(ROW()&gt;steps+10,"",HEX2DEC(MID(D25,3,2)))</f>
        <v>255</v>
      </c>
      <c r="G25" s="16">
        <f ca="1">IF(ROW()&gt;steps+10,"",HEX2DEC(RIGHT(D25,2)))</f>
        <v>255</v>
      </c>
      <c r="H25" s="16">
        <f ca="1">IF(ROW()&gt;steps+10,"",nonMatch(D25,TRUE))</f>
        <v>1</v>
      </c>
      <c r="I25" s="16">
        <f ca="1">IF(ROW()&gt;steps+10,"",nonMatch(D25,FALSE))</f>
        <v>26</v>
      </c>
      <c r="J25" s="17">
        <f ca="1">IF(ROW()&gt;steps+10,"",IF($I25=$H25,E25,INDEX(INDIRECT(range),$H25,1)+ROUND(($B25-$H25)/($I25-$H25)*(INDEX(INDIRECT(range),$I25,1)-INDEX(INDIRECT(range),$H25,1)),0)))</f>
        <v>248</v>
      </c>
      <c r="K25" s="17">
        <f ca="1">IF(ROW()&gt;steps+10,"",IF($I25=$H25,F25,INDEX(INDIRECT(range),$H25,2)+ROUND(($B25-$H25)/($I25-$H25)*(INDEX(INDIRECT(range),$I25,2)-INDEX(INDIRECT(range),$H25,2)),0)))</f>
        <v>136</v>
      </c>
      <c r="L25" s="17">
        <f ca="1">IF(ROW()&gt;steps+10,"",IF($I25=$H25,G25,INDEX(INDIRECT(range),$H25,3)+ROUND(($B25-$H25)/($I25-$H25)*(INDEX(INDIRECT(range),$I25,3)-INDEX(INDIRECT(range),$H25,3)),0)))</f>
        <v>136</v>
      </c>
      <c r="M25" s="34"/>
      <c r="N25" s="15" t="str">
        <f ca="1">IF(ROW()&gt;steps+10,"",getnewcolor(M25))</f>
        <v>16287880</v>
      </c>
      <c r="O25" s="19" t="str">
        <f ca="1">IF(ROW()&gt;steps+10,"",gethexcolor(M25))</f>
        <v>F88888</v>
      </c>
    </row>
    <row r="26" spans="2:15" x14ac:dyDescent="0.25">
      <c r="B26" s="14">
        <f>IFERROR(IF(B25+1&gt;steps,"",B25+1),"")</f>
        <v>16</v>
      </c>
      <c r="C26" s="21"/>
      <c r="D26" s="15" t="str">
        <f ca="1">IF(ROW()&gt;steps+10,"",gethexcolor(C26))</f>
        <v>FFFFFF</v>
      </c>
      <c r="E26" s="16">
        <f ca="1">IF(ROW()&gt;steps+10,"",HEX2DEC(LEFT(D26,2)))</f>
        <v>255</v>
      </c>
      <c r="F26" s="16">
        <f ca="1">IF(ROW()&gt;steps+10,"",HEX2DEC(MID(D26,3,2)))</f>
        <v>255</v>
      </c>
      <c r="G26" s="16">
        <f ca="1">IF(ROW()&gt;steps+10,"",HEX2DEC(RIGHT(D26,2)))</f>
        <v>255</v>
      </c>
      <c r="H26" s="16">
        <f ca="1">IF(ROW()&gt;steps+10,"",nonMatch(D26,TRUE))</f>
        <v>1</v>
      </c>
      <c r="I26" s="16">
        <f ca="1">IF(ROW()&gt;steps+10,"",nonMatch(D26,FALSE))</f>
        <v>26</v>
      </c>
      <c r="J26" s="17">
        <f ca="1">IF(ROW()&gt;steps+10,"",IF($I26=$H26,E26,INDEX(INDIRECT(range),$H26,1)+ROUND(($B26-$H26)/($I26-$H26)*(INDEX(INDIRECT(range),$I26,1)-INDEX(INDIRECT(range),$H26,1)),0)))</f>
        <v>247</v>
      </c>
      <c r="K26" s="17">
        <f ca="1">IF(ROW()&gt;steps+10,"",IF($I26=$H26,F26,INDEX(INDIRECT(range),$H26,2)+ROUND(($B26-$H26)/($I26-$H26)*(INDEX(INDIRECT(range),$I26,2)-INDEX(INDIRECT(range),$H26,2)),0)))</f>
        <v>145</v>
      </c>
      <c r="L26" s="17">
        <f ca="1">IF(ROW()&gt;steps+10,"",IF($I26=$H26,G26,INDEX(INDIRECT(range),$H26,3)+ROUND(($B26-$H26)/($I26-$H26)*(INDEX(INDIRECT(range),$I26,3)-INDEX(INDIRECT(range),$H26,3)),0)))</f>
        <v>145</v>
      </c>
      <c r="M26" s="35"/>
      <c r="N26" s="15" t="str">
        <f ca="1">IF(ROW()&gt;steps+10,"",getnewcolor(M26))</f>
        <v>16224657</v>
      </c>
      <c r="O26" s="19" t="str">
        <f ca="1">IF(ROW()&gt;steps+10,"",gethexcolor(M26))</f>
        <v>F79191</v>
      </c>
    </row>
    <row r="27" spans="2:15" x14ac:dyDescent="0.25">
      <c r="B27" s="14">
        <f>IFERROR(IF(B26+1&gt;steps,"",B26+1),"")</f>
        <v>17</v>
      </c>
      <c r="C27" s="21"/>
      <c r="D27" s="15" t="str">
        <f ca="1">IF(ROW()&gt;steps+10,"",gethexcolor(C27))</f>
        <v>FFFFFF</v>
      </c>
      <c r="E27" s="16">
        <f ca="1">IF(ROW()&gt;steps+10,"",HEX2DEC(LEFT(D27,2)))</f>
        <v>255</v>
      </c>
      <c r="F27" s="16">
        <f ca="1">IF(ROW()&gt;steps+10,"",HEX2DEC(MID(D27,3,2)))</f>
        <v>255</v>
      </c>
      <c r="G27" s="16">
        <f ca="1">IF(ROW()&gt;steps+10,"",HEX2DEC(RIGHT(D27,2)))</f>
        <v>255</v>
      </c>
      <c r="H27" s="16">
        <f ca="1">IF(ROW()&gt;steps+10,"",nonMatch(D27,TRUE))</f>
        <v>1</v>
      </c>
      <c r="I27" s="16">
        <f ca="1">IF(ROW()&gt;steps+10,"",nonMatch(D27,FALSE))</f>
        <v>26</v>
      </c>
      <c r="J27" s="17">
        <f ca="1">IF(ROW()&gt;steps+10,"",IF($I27=$H27,E27,INDEX(INDIRECT(range),$H27,1)+ROUND(($B27-$H27)/($I27-$H27)*(INDEX(INDIRECT(range),$I27,1)-INDEX(INDIRECT(range),$H27,1)),0)))</f>
        <v>247</v>
      </c>
      <c r="K27" s="17">
        <f ca="1">IF(ROW()&gt;steps+10,"",IF($I27=$H27,F27,INDEX(INDIRECT(range),$H27,2)+ROUND(($B27-$H27)/($I27-$H27)*(INDEX(INDIRECT(range),$I27,2)-INDEX(INDIRECT(range),$H27,2)),0)))</f>
        <v>155</v>
      </c>
      <c r="L27" s="17">
        <f ca="1">IF(ROW()&gt;steps+10,"",IF($I27=$H27,G27,INDEX(INDIRECT(range),$H27,3)+ROUND(($B27-$H27)/($I27-$H27)*(INDEX(INDIRECT(range),$I27,3)-INDEX(INDIRECT(range),$H27,3)),0)))</f>
        <v>155</v>
      </c>
      <c r="M27" s="36"/>
      <c r="N27" s="15" t="str">
        <f ca="1">IF(ROW()&gt;steps+10,"",getnewcolor(M27))</f>
        <v>16227227</v>
      </c>
      <c r="O27" s="19" t="str">
        <f ca="1">IF(ROW()&gt;steps+10,"",gethexcolor(M27))</f>
        <v>F79B9B</v>
      </c>
    </row>
    <row r="28" spans="2:15" x14ac:dyDescent="0.25">
      <c r="B28" s="14">
        <f>IFERROR(IF(B27+1&gt;steps,"",B27+1),"")</f>
        <v>18</v>
      </c>
      <c r="C28" s="21"/>
      <c r="D28" s="15" t="str">
        <f ca="1">IF(ROW()&gt;steps+10,"",gethexcolor(C28))</f>
        <v>FFFFFF</v>
      </c>
      <c r="E28" s="16">
        <f ca="1">IF(ROW()&gt;steps+10,"",HEX2DEC(LEFT(D28,2)))</f>
        <v>255</v>
      </c>
      <c r="F28" s="16">
        <f ca="1">IF(ROW()&gt;steps+10,"",HEX2DEC(MID(D28,3,2)))</f>
        <v>255</v>
      </c>
      <c r="G28" s="16">
        <f ca="1">IF(ROW()&gt;steps+10,"",HEX2DEC(RIGHT(D28,2)))</f>
        <v>255</v>
      </c>
      <c r="H28" s="16">
        <f ca="1">IF(ROW()&gt;steps+10,"",nonMatch(D28,TRUE))</f>
        <v>1</v>
      </c>
      <c r="I28" s="16">
        <f ca="1">IF(ROW()&gt;steps+10,"",nonMatch(D28,FALSE))</f>
        <v>26</v>
      </c>
      <c r="J28" s="17">
        <f ca="1">IF(ROW()&gt;steps+10,"",IF($I28=$H28,E28,INDEX(INDIRECT(range),$H28,1)+ROUND(($B28-$H28)/($I28-$H28)*(INDEX(INDIRECT(range),$I28,1)-INDEX(INDIRECT(range),$H28,1)),0)))</f>
        <v>246</v>
      </c>
      <c r="K28" s="17">
        <f ca="1">IF(ROW()&gt;steps+10,"",IF($I28=$H28,F28,INDEX(INDIRECT(range),$H28,2)+ROUND(($B28-$H28)/($I28-$H28)*(INDEX(INDIRECT(range),$I28,2)-INDEX(INDIRECT(range),$H28,2)),0)))</f>
        <v>165</v>
      </c>
      <c r="L28" s="17">
        <f ca="1">IF(ROW()&gt;steps+10,"",IF($I28=$H28,G28,INDEX(INDIRECT(range),$H28,3)+ROUND(($B28-$H28)/($I28-$H28)*(INDEX(INDIRECT(range),$I28,3)-INDEX(INDIRECT(range),$H28,3)),0)))</f>
        <v>165</v>
      </c>
      <c r="M28" s="37"/>
      <c r="N28" s="15" t="str">
        <f ca="1">IF(ROW()&gt;steps+10,"",getnewcolor(M28))</f>
        <v>16164261</v>
      </c>
      <c r="O28" s="19" t="str">
        <f ca="1">IF(ROW()&gt;steps+10,"",gethexcolor(M28))</f>
        <v>F6A5A5</v>
      </c>
    </row>
    <row r="29" spans="2:15" x14ac:dyDescent="0.25">
      <c r="B29" s="14">
        <f>IFERROR(IF(B28+1&gt;steps,"",B28+1),"")</f>
        <v>19</v>
      </c>
      <c r="C29" s="21"/>
      <c r="D29" s="15" t="str">
        <f ca="1">IF(ROW()&gt;steps+10,"",gethexcolor(C29))</f>
        <v>FFFFFF</v>
      </c>
      <c r="E29" s="16">
        <f ca="1">IF(ROW()&gt;steps+10,"",HEX2DEC(LEFT(D29,2)))</f>
        <v>255</v>
      </c>
      <c r="F29" s="16">
        <f ca="1">IF(ROW()&gt;steps+10,"",HEX2DEC(MID(D29,3,2)))</f>
        <v>255</v>
      </c>
      <c r="G29" s="16">
        <f ca="1">IF(ROW()&gt;steps+10,"",HEX2DEC(RIGHT(D29,2)))</f>
        <v>255</v>
      </c>
      <c r="H29" s="16">
        <f ca="1">IF(ROW()&gt;steps+10,"",nonMatch(D29,TRUE))</f>
        <v>1</v>
      </c>
      <c r="I29" s="16">
        <f ca="1">IF(ROW()&gt;steps+10,"",nonMatch(D29,FALSE))</f>
        <v>26</v>
      </c>
      <c r="J29" s="17">
        <f ca="1">IF(ROW()&gt;steps+10,"",IF($I29=$H29,E29,INDEX(INDIRECT(range),$H29,1)+ROUND(($B29-$H29)/($I29-$H29)*(INDEX(INDIRECT(range),$I29,1)-INDEX(INDIRECT(range),$H29,1)),0)))</f>
        <v>246</v>
      </c>
      <c r="K29" s="17">
        <f ca="1">IF(ROW()&gt;steps+10,"",IF($I29=$H29,F29,INDEX(INDIRECT(range),$H29,2)+ROUND(($B29-$H29)/($I29-$H29)*(INDEX(INDIRECT(range),$I29,2)-INDEX(INDIRECT(range),$H29,2)),0)))</f>
        <v>174</v>
      </c>
      <c r="L29" s="17">
        <f ca="1">IF(ROW()&gt;steps+10,"",IF($I29=$H29,G29,INDEX(INDIRECT(range),$H29,3)+ROUND(($B29-$H29)/($I29-$H29)*(INDEX(INDIRECT(range),$I29,3)-INDEX(INDIRECT(range),$H29,3)),0)))</f>
        <v>174</v>
      </c>
      <c r="M29" s="38"/>
      <c r="N29" s="15" t="str">
        <f ca="1">IF(ROW()&gt;steps+10,"",getnewcolor(M29))</f>
        <v>16166574</v>
      </c>
      <c r="O29" s="19" t="str">
        <f ca="1">IF(ROW()&gt;steps+10,"",gethexcolor(M29))</f>
        <v>F6AEAE</v>
      </c>
    </row>
    <row r="30" spans="2:15" x14ac:dyDescent="0.25">
      <c r="B30" s="14">
        <f>IFERROR(IF(B29+1&gt;steps,"",B29+1),"")</f>
        <v>20</v>
      </c>
      <c r="C30" s="21"/>
      <c r="D30" s="15" t="str">
        <f ca="1">IF(ROW()&gt;steps+10,"",gethexcolor(C30))</f>
        <v>FFFFFF</v>
      </c>
      <c r="E30" s="16">
        <f ca="1">IF(ROW()&gt;steps+10,"",HEX2DEC(LEFT(D30,2)))</f>
        <v>255</v>
      </c>
      <c r="F30" s="16">
        <f ca="1">IF(ROW()&gt;steps+10,"",HEX2DEC(MID(D30,3,2)))</f>
        <v>255</v>
      </c>
      <c r="G30" s="16">
        <f ca="1">IF(ROW()&gt;steps+10,"",HEX2DEC(RIGHT(D30,2)))</f>
        <v>255</v>
      </c>
      <c r="H30" s="16">
        <f ca="1">IF(ROW()&gt;steps+10,"",nonMatch(D30,TRUE))</f>
        <v>1</v>
      </c>
      <c r="I30" s="16">
        <f ca="1">IF(ROW()&gt;steps+10,"",nonMatch(D30,FALSE))</f>
        <v>26</v>
      </c>
      <c r="J30" s="17">
        <f ca="1">IF(ROW()&gt;steps+10,"",IF($I30=$H30,E30,INDEX(INDIRECT(range),$H30,1)+ROUND(($B30-$H30)/($I30-$H30)*(INDEX(INDIRECT(range),$I30,1)-INDEX(INDIRECT(range),$H30,1)),0)))</f>
        <v>245</v>
      </c>
      <c r="K30" s="17">
        <f ca="1">IF(ROW()&gt;steps+10,"",IF($I30=$H30,F30,INDEX(INDIRECT(range),$H30,2)+ROUND(($B30-$H30)/($I30-$H30)*(INDEX(INDIRECT(range),$I30,2)-INDEX(INDIRECT(range),$H30,2)),0)))</f>
        <v>184</v>
      </c>
      <c r="L30" s="17">
        <f ca="1">IF(ROW()&gt;steps+10,"",IF($I30=$H30,G30,INDEX(INDIRECT(range),$H30,3)+ROUND(($B30-$H30)/($I30-$H30)*(INDEX(INDIRECT(range),$I30,3)-INDEX(INDIRECT(range),$H30,3)),0)))</f>
        <v>184</v>
      </c>
      <c r="M30" s="39"/>
      <c r="N30" s="15" t="str">
        <f ca="1">IF(ROW()&gt;steps+10,"",getnewcolor(M30))</f>
        <v>16103608</v>
      </c>
      <c r="O30" s="19" t="str">
        <f ca="1">IF(ROW()&gt;steps+10,"",gethexcolor(M30))</f>
        <v>F5B8B8</v>
      </c>
    </row>
    <row r="31" spans="2:15" x14ac:dyDescent="0.25">
      <c r="B31" s="14">
        <f>IFERROR(IF(B30+1&gt;steps,"",B30+1),"")</f>
        <v>21</v>
      </c>
      <c r="C31" s="21"/>
      <c r="D31" s="15" t="str">
        <f ca="1">IF(ROW()&gt;steps+10,"",gethexcolor(C31))</f>
        <v>FFFFFF</v>
      </c>
      <c r="E31" s="16">
        <f ca="1">IF(ROW()&gt;steps+10,"",HEX2DEC(LEFT(D31,2)))</f>
        <v>255</v>
      </c>
      <c r="F31" s="16">
        <f ca="1">IF(ROW()&gt;steps+10,"",HEX2DEC(MID(D31,3,2)))</f>
        <v>255</v>
      </c>
      <c r="G31" s="16">
        <f ca="1">IF(ROW()&gt;steps+10,"",HEX2DEC(RIGHT(D31,2)))</f>
        <v>255</v>
      </c>
      <c r="H31" s="16">
        <f ca="1">IF(ROW()&gt;steps+10,"",nonMatch(D31,TRUE))</f>
        <v>1</v>
      </c>
      <c r="I31" s="16">
        <f ca="1">IF(ROW()&gt;steps+10,"",nonMatch(D31,FALSE))</f>
        <v>26</v>
      </c>
      <c r="J31" s="17">
        <f ca="1">IF(ROW()&gt;steps+10,"",IF($I31=$H31,E31,INDEX(INDIRECT(range),$H31,1)+ROUND(($B31-$H31)/($I31-$H31)*(INDEX(INDIRECT(range),$I31,1)-INDEX(INDIRECT(range),$H31,1)),0)))</f>
        <v>245</v>
      </c>
      <c r="K31" s="17">
        <f ca="1">IF(ROW()&gt;steps+10,"",IF($I31=$H31,F31,INDEX(INDIRECT(range),$H31,2)+ROUND(($B31-$H31)/($I31-$H31)*(INDEX(INDIRECT(range),$I31,2)-INDEX(INDIRECT(range),$H31,2)),0)))</f>
        <v>194</v>
      </c>
      <c r="L31" s="17">
        <f ca="1">IF(ROW()&gt;steps+10,"",IF($I31=$H31,G31,INDEX(INDIRECT(range),$H31,3)+ROUND(($B31-$H31)/($I31-$H31)*(INDEX(INDIRECT(range),$I31,3)-INDEX(INDIRECT(range),$H31,3)),0)))</f>
        <v>194</v>
      </c>
      <c r="M31" s="40"/>
      <c r="N31" s="15" t="str">
        <f ca="1">IF(ROW()&gt;steps+10,"",getnewcolor(M31))</f>
        <v>16106178</v>
      </c>
      <c r="O31" s="19" t="str">
        <f ca="1">IF(ROW()&gt;steps+10,"",gethexcolor(M31))</f>
        <v>F5C2C2</v>
      </c>
    </row>
    <row r="32" spans="2:15" x14ac:dyDescent="0.25">
      <c r="B32" s="14">
        <f>IFERROR(IF(B31+1&gt;steps,"",B31+1),"")</f>
        <v>22</v>
      </c>
      <c r="C32" s="21"/>
      <c r="D32" s="15" t="str">
        <f ca="1">IF(ROW()&gt;steps+10,"",gethexcolor(C32))</f>
        <v>FFFFFF</v>
      </c>
      <c r="E32" s="16">
        <f ca="1">IF(ROW()&gt;steps+10,"",HEX2DEC(LEFT(D32,2)))</f>
        <v>255</v>
      </c>
      <c r="F32" s="16">
        <f ca="1">IF(ROW()&gt;steps+10,"",HEX2DEC(MID(D32,3,2)))</f>
        <v>255</v>
      </c>
      <c r="G32" s="16">
        <f ca="1">IF(ROW()&gt;steps+10,"",HEX2DEC(RIGHT(D32,2)))</f>
        <v>255</v>
      </c>
      <c r="H32" s="16">
        <f ca="1">IF(ROW()&gt;steps+10,"",nonMatch(D32,TRUE))</f>
        <v>1</v>
      </c>
      <c r="I32" s="16">
        <f ca="1">IF(ROW()&gt;steps+10,"",nonMatch(D32,FALSE))</f>
        <v>26</v>
      </c>
      <c r="J32" s="17">
        <f ca="1">IF(ROW()&gt;steps+10,"",IF($I32=$H32,E32,INDEX(INDIRECT(range),$H32,1)+ROUND(($B32-$H32)/($I32-$H32)*(INDEX(INDIRECT(range),$I32,1)-INDEX(INDIRECT(range),$H32,1)),0)))</f>
        <v>244</v>
      </c>
      <c r="K32" s="17">
        <f ca="1">IF(ROW()&gt;steps+10,"",IF($I32=$H32,F32,INDEX(INDIRECT(range),$H32,2)+ROUND(($B32-$H32)/($I32-$H32)*(INDEX(INDIRECT(range),$I32,2)-INDEX(INDIRECT(range),$H32,2)),0)))</f>
        <v>203</v>
      </c>
      <c r="L32" s="17">
        <f ca="1">IF(ROW()&gt;steps+10,"",IF($I32=$H32,G32,INDEX(INDIRECT(range),$H32,3)+ROUND(($B32-$H32)/($I32-$H32)*(INDEX(INDIRECT(range),$I32,3)-INDEX(INDIRECT(range),$H32,3)),0)))</f>
        <v>203</v>
      </c>
      <c r="M32" s="41"/>
      <c r="N32" s="15" t="str">
        <f ca="1">IF(ROW()&gt;steps+10,"",getnewcolor(M32))</f>
        <v>16042955</v>
      </c>
      <c r="O32" s="19" t="str">
        <f ca="1">IF(ROW()&gt;steps+10,"",gethexcolor(M32))</f>
        <v>F4CBCB</v>
      </c>
    </row>
    <row r="33" spans="2:15" x14ac:dyDescent="0.25">
      <c r="B33" s="14">
        <f>IFERROR(IF(B32+1&gt;steps,"",B32+1),"")</f>
        <v>23</v>
      </c>
      <c r="C33" s="21"/>
      <c r="D33" s="15" t="str">
        <f ca="1">IF(ROW()&gt;steps+10,"",gethexcolor(C33))</f>
        <v>FFFFFF</v>
      </c>
      <c r="E33" s="16">
        <f ca="1">IF(ROW()&gt;steps+10,"",HEX2DEC(LEFT(D33,2)))</f>
        <v>255</v>
      </c>
      <c r="F33" s="16">
        <f ca="1">IF(ROW()&gt;steps+10,"",HEX2DEC(MID(D33,3,2)))</f>
        <v>255</v>
      </c>
      <c r="G33" s="16">
        <f ca="1">IF(ROW()&gt;steps+10,"",HEX2DEC(RIGHT(D33,2)))</f>
        <v>255</v>
      </c>
      <c r="H33" s="16">
        <f ca="1">IF(ROW()&gt;steps+10,"",nonMatch(D33,TRUE))</f>
        <v>1</v>
      </c>
      <c r="I33" s="16">
        <f ca="1">IF(ROW()&gt;steps+10,"",nonMatch(D33,FALSE))</f>
        <v>26</v>
      </c>
      <c r="J33" s="17">
        <f ca="1">IF(ROW()&gt;steps+10,"",IF($I33=$H33,E33,INDEX(INDIRECT(range),$H33,1)+ROUND(($B33-$H33)/($I33-$H33)*(INDEX(INDIRECT(range),$I33,1)-INDEX(INDIRECT(range),$H33,1)),0)))</f>
        <v>244</v>
      </c>
      <c r="K33" s="17">
        <f ca="1">IF(ROW()&gt;steps+10,"",IF($I33=$H33,F33,INDEX(INDIRECT(range),$H33,2)+ROUND(($B33-$H33)/($I33-$H33)*(INDEX(INDIRECT(range),$I33,2)-INDEX(INDIRECT(range),$H33,2)),0)))</f>
        <v>213</v>
      </c>
      <c r="L33" s="17">
        <f ca="1">IF(ROW()&gt;steps+10,"",IF($I33=$H33,G33,INDEX(INDIRECT(range),$H33,3)+ROUND(($B33-$H33)/($I33-$H33)*(INDEX(INDIRECT(range),$I33,3)-INDEX(INDIRECT(range),$H33,3)),0)))</f>
        <v>213</v>
      </c>
      <c r="M33" s="42"/>
      <c r="N33" s="15" t="str">
        <f ca="1">IF(ROW()&gt;steps+10,"",getnewcolor(M33))</f>
        <v>16045525</v>
      </c>
      <c r="O33" s="19" t="str">
        <f ca="1">IF(ROW()&gt;steps+10,"",gethexcolor(M33))</f>
        <v>F4D5D5</v>
      </c>
    </row>
    <row r="34" spans="2:15" x14ac:dyDescent="0.25">
      <c r="B34" s="14">
        <f>IFERROR(IF(B33+1&gt;steps,"",B33+1),"")</f>
        <v>24</v>
      </c>
      <c r="C34" s="21"/>
      <c r="D34" s="15" t="str">
        <f ca="1">IF(ROW()&gt;steps+10,"",gethexcolor(C34))</f>
        <v>FFFFFF</v>
      </c>
      <c r="E34" s="16">
        <f ca="1">IF(ROW()&gt;steps+10,"",HEX2DEC(LEFT(D34,2)))</f>
        <v>255</v>
      </c>
      <c r="F34" s="16">
        <f ca="1">IF(ROW()&gt;steps+10,"",HEX2DEC(MID(D34,3,2)))</f>
        <v>255</v>
      </c>
      <c r="G34" s="16">
        <f ca="1">IF(ROW()&gt;steps+10,"",HEX2DEC(RIGHT(D34,2)))</f>
        <v>255</v>
      </c>
      <c r="H34" s="16">
        <f ca="1">IF(ROW()&gt;steps+10,"",nonMatch(D34,TRUE))</f>
        <v>1</v>
      </c>
      <c r="I34" s="16">
        <f ca="1">IF(ROW()&gt;steps+10,"",nonMatch(D34,FALSE))</f>
        <v>26</v>
      </c>
      <c r="J34" s="17">
        <f ca="1">IF(ROW()&gt;steps+10,"",IF($I34=$H34,E34,INDEX(INDIRECT(range),$H34,1)+ROUND(($B34-$H34)/($I34-$H34)*(INDEX(INDIRECT(range),$I34,1)-INDEX(INDIRECT(range),$H34,1)),0)))</f>
        <v>243</v>
      </c>
      <c r="K34" s="17">
        <f ca="1">IF(ROW()&gt;steps+10,"",IF($I34=$H34,F34,INDEX(INDIRECT(range),$H34,2)+ROUND(($B34-$H34)/($I34-$H34)*(INDEX(INDIRECT(range),$I34,2)-INDEX(INDIRECT(range),$H34,2)),0)))</f>
        <v>223</v>
      </c>
      <c r="L34" s="17">
        <f ca="1">IF(ROW()&gt;steps+10,"",IF($I34=$H34,G34,INDEX(INDIRECT(range),$H34,3)+ROUND(($B34-$H34)/($I34-$H34)*(INDEX(INDIRECT(range),$I34,3)-INDEX(INDIRECT(range),$H34,3)),0)))</f>
        <v>223</v>
      </c>
      <c r="M34" s="43"/>
      <c r="N34" s="15" t="str">
        <f ca="1">IF(ROW()&gt;steps+10,"",getnewcolor(M34))</f>
        <v>15982559</v>
      </c>
      <c r="O34" s="19" t="str">
        <f ca="1">IF(ROW()&gt;steps+10,"",gethexcolor(M34))</f>
        <v>F3DFDF</v>
      </c>
    </row>
    <row r="35" spans="2:15" x14ac:dyDescent="0.25">
      <c r="B35" s="14">
        <f>IFERROR(IF(B34+1&gt;steps,"",B34+1),"")</f>
        <v>25</v>
      </c>
      <c r="C35" s="21"/>
      <c r="D35" s="15" t="str">
        <f ca="1">IF(ROW()&gt;steps+10,"",gethexcolor(C35))</f>
        <v>FFFFFF</v>
      </c>
      <c r="E35" s="16">
        <f ca="1">IF(ROW()&gt;steps+10,"",HEX2DEC(LEFT(D35,2)))</f>
        <v>255</v>
      </c>
      <c r="F35" s="16">
        <f ca="1">IF(ROW()&gt;steps+10,"",HEX2DEC(MID(D35,3,2)))</f>
        <v>255</v>
      </c>
      <c r="G35" s="16">
        <f ca="1">IF(ROW()&gt;steps+10,"",HEX2DEC(RIGHT(D35,2)))</f>
        <v>255</v>
      </c>
      <c r="H35" s="16">
        <f ca="1">IF(ROW()&gt;steps+10,"",nonMatch(D35,TRUE))</f>
        <v>1</v>
      </c>
      <c r="I35" s="16">
        <f ca="1">IF(ROW()&gt;steps+10,"",nonMatch(D35,FALSE))</f>
        <v>26</v>
      </c>
      <c r="J35" s="17">
        <f ca="1">IF(ROW()&gt;steps+10,"",IF($I35=$H35,E35,INDEX(INDIRECT(range),$H35,1)+ROUND(($B35-$H35)/($I35-$H35)*(INDEX(INDIRECT(range),$I35,1)-INDEX(INDIRECT(range),$H35,1)),0)))</f>
        <v>243</v>
      </c>
      <c r="K35" s="17">
        <f ca="1">IF(ROW()&gt;steps+10,"",IF($I35=$H35,F35,INDEX(INDIRECT(range),$H35,2)+ROUND(($B35-$H35)/($I35-$H35)*(INDEX(INDIRECT(range),$I35,2)-INDEX(INDIRECT(range),$H35,2)),0)))</f>
        <v>232</v>
      </c>
      <c r="L35" s="17">
        <f ca="1">IF(ROW()&gt;steps+10,"",IF($I35=$H35,G35,INDEX(INDIRECT(range),$H35,3)+ROUND(($B35-$H35)/($I35-$H35)*(INDEX(INDIRECT(range),$I35,3)-INDEX(INDIRECT(range),$H35,3)),0)))</f>
        <v>232</v>
      </c>
      <c r="M35" s="44"/>
      <c r="N35" s="15" t="str">
        <f ca="1">IF(ROW()&gt;steps+10,"",getnewcolor(M35))</f>
        <v>15984872</v>
      </c>
      <c r="O35" s="19" t="str">
        <f ca="1">IF(ROW()&gt;steps+10,"",gethexcolor(M35))</f>
        <v>F3E8E8</v>
      </c>
    </row>
    <row r="36" spans="2:15" x14ac:dyDescent="0.25">
      <c r="B36" s="14">
        <f>IFERROR(IF(B35+1&gt;steps,"",B35+1),"")</f>
        <v>26</v>
      </c>
      <c r="C36" s="45"/>
      <c r="D36" s="15" t="str">
        <f ca="1">IF(ROW()&gt;steps+10,"",gethexcolor(C36))</f>
        <v>F2F2F2</v>
      </c>
      <c r="E36" s="16">
        <f ca="1">IF(ROW()&gt;steps+10,"",HEX2DEC(LEFT(D36,2)))</f>
        <v>242</v>
      </c>
      <c r="F36" s="16">
        <f ca="1">IF(ROW()&gt;steps+10,"",HEX2DEC(MID(D36,3,2)))</f>
        <v>242</v>
      </c>
      <c r="G36" s="16">
        <f ca="1">IF(ROW()&gt;steps+10,"",HEX2DEC(RIGHT(D36,2)))</f>
        <v>242</v>
      </c>
      <c r="H36" s="16">
        <f ca="1">IF(ROW()&gt;steps+10,"",nonMatch(D36,TRUE))</f>
        <v>26</v>
      </c>
      <c r="I36" s="16">
        <f ca="1">IF(ROW()&gt;steps+10,"",nonMatch(D36,FALSE))</f>
        <v>26</v>
      </c>
      <c r="J36" s="17">
        <f ca="1">IF(ROW()&gt;steps+10,"",IF($I36=$H36,E36,INDEX(INDIRECT(range),$H36,1)+ROUND(($B36-$H36)/($I36-$H36)*(INDEX(INDIRECT(range),$I36,1)-INDEX(INDIRECT(range),$H36,1)),0)))</f>
        <v>242</v>
      </c>
      <c r="K36" s="17">
        <f ca="1">IF(ROW()&gt;steps+10,"",IF($I36=$H36,F36,INDEX(INDIRECT(range),$H36,2)+ROUND(($B36-$H36)/($I36-$H36)*(INDEX(INDIRECT(range),$I36,2)-INDEX(INDIRECT(range),$H36,2)),0)))</f>
        <v>242</v>
      </c>
      <c r="L36" s="17">
        <f ca="1">IF(ROW()&gt;steps+10,"",IF($I36=$H36,G36,INDEX(INDIRECT(range),$H36,3)+ROUND(($B36-$H36)/($I36-$H36)*(INDEX(INDIRECT(range),$I36,3)-INDEX(INDIRECT(range),$H36,3)),0)))</f>
        <v>242</v>
      </c>
      <c r="M36" s="46"/>
      <c r="N36" s="15" t="str">
        <f ca="1">IF(ROW()&gt;steps+10,"",getnewcolor(M36))</f>
        <v>15921906</v>
      </c>
      <c r="O36" s="19" t="str">
        <f ca="1">IF(ROW()&gt;steps+10,"",gethexcolor(M36))</f>
        <v>F2F2F2</v>
      </c>
    </row>
    <row r="37" spans="2:15" x14ac:dyDescent="0.25">
      <c r="B37" s="14">
        <f>IFERROR(IF(B36+1&gt;steps,"",B36+1),"")</f>
        <v>27</v>
      </c>
      <c r="C37" s="21"/>
      <c r="D37" s="15" t="str">
        <f ca="1">IF(ROW()&gt;steps+10,"",gethexcolor(C37))</f>
        <v>FFFFFF</v>
      </c>
      <c r="E37" s="16">
        <f ca="1">IF(ROW()&gt;steps+10,"",HEX2DEC(LEFT(D37,2)))</f>
        <v>255</v>
      </c>
      <c r="F37" s="16">
        <f ca="1">IF(ROW()&gt;steps+10,"",HEX2DEC(MID(D37,3,2)))</f>
        <v>255</v>
      </c>
      <c r="G37" s="16">
        <f ca="1">IF(ROW()&gt;steps+10,"",HEX2DEC(RIGHT(D37,2)))</f>
        <v>255</v>
      </c>
      <c r="H37" s="16">
        <f ca="1">IF(ROW()&gt;steps+10,"",nonMatch(D37,TRUE))</f>
        <v>26</v>
      </c>
      <c r="I37" s="16">
        <f ca="1">IF(ROW()&gt;steps+10,"",nonMatch(D37,FALSE))</f>
        <v>51</v>
      </c>
      <c r="J37" s="17">
        <f ca="1">IF(ROW()&gt;steps+10,"",IF($I37=$H37,E37,INDEX(INDIRECT(range),$H37,1)+ROUND(($B37-$H37)/($I37-$H37)*(INDEX(INDIRECT(range),$I37,1)-INDEX(INDIRECT(range),$H37,1)),0)))</f>
        <v>232</v>
      </c>
      <c r="K37" s="17">
        <f ca="1">IF(ROW()&gt;steps+10,"",IF($I37=$H37,F37,INDEX(INDIRECT(range),$H37,2)+ROUND(($B37-$H37)/($I37-$H37)*(INDEX(INDIRECT(range),$I37,2)-INDEX(INDIRECT(range),$H37,2)),0)))</f>
        <v>232</v>
      </c>
      <c r="L37" s="17">
        <f ca="1">IF(ROW()&gt;steps+10,"",IF($I37=$H37,G37,INDEX(INDIRECT(range),$H37,3)+ROUND(($B37-$H37)/($I37-$H37)*(INDEX(INDIRECT(range),$I37,3)-INDEX(INDIRECT(range),$H37,3)),0)))</f>
        <v>243</v>
      </c>
      <c r="M37" s="47"/>
      <c r="N37" s="15" t="str">
        <f ca="1">IF(ROW()&gt;steps+10,"",getnewcolor(M37))</f>
        <v>15263987</v>
      </c>
      <c r="O37" s="19" t="str">
        <f ca="1">IF(ROW()&gt;steps+10,"",gethexcolor(M37))</f>
        <v>E8E8F3</v>
      </c>
    </row>
    <row r="38" spans="2:15" x14ac:dyDescent="0.25">
      <c r="B38" s="14">
        <f>IFERROR(IF(B37+1&gt;steps,"",B37+1),"")</f>
        <v>28</v>
      </c>
      <c r="C38" s="21"/>
      <c r="D38" s="15" t="str">
        <f ca="1">IF(ROW()&gt;steps+10,"",gethexcolor(C38))</f>
        <v>FFFFFF</v>
      </c>
      <c r="E38" s="16">
        <f ca="1">IF(ROW()&gt;steps+10,"",HEX2DEC(LEFT(D38,2)))</f>
        <v>255</v>
      </c>
      <c r="F38" s="16">
        <f ca="1">IF(ROW()&gt;steps+10,"",HEX2DEC(MID(D38,3,2)))</f>
        <v>255</v>
      </c>
      <c r="G38" s="16">
        <f ca="1">IF(ROW()&gt;steps+10,"",HEX2DEC(RIGHT(D38,2)))</f>
        <v>255</v>
      </c>
      <c r="H38" s="16">
        <f ca="1">IF(ROW()&gt;steps+10,"",nonMatch(D38,TRUE))</f>
        <v>26</v>
      </c>
      <c r="I38" s="16">
        <f ca="1">IF(ROW()&gt;steps+10,"",nonMatch(D38,FALSE))</f>
        <v>51</v>
      </c>
      <c r="J38" s="17">
        <f ca="1">IF(ROW()&gt;steps+10,"",IF($I38=$H38,E38,INDEX(INDIRECT(range),$H38,1)+ROUND(($B38-$H38)/($I38-$H38)*(INDEX(INDIRECT(range),$I38,1)-INDEX(INDIRECT(range),$H38,1)),0)))</f>
        <v>223</v>
      </c>
      <c r="K38" s="17">
        <f ca="1">IF(ROW()&gt;steps+10,"",IF($I38=$H38,F38,INDEX(INDIRECT(range),$H38,2)+ROUND(($B38-$H38)/($I38-$H38)*(INDEX(INDIRECT(range),$I38,2)-INDEX(INDIRECT(range),$H38,2)),0)))</f>
        <v>223</v>
      </c>
      <c r="L38" s="17">
        <f ca="1">IF(ROW()&gt;steps+10,"",IF($I38=$H38,G38,INDEX(INDIRECT(range),$H38,3)+ROUND(($B38-$H38)/($I38-$H38)*(INDEX(INDIRECT(range),$I38,3)-INDEX(INDIRECT(range),$H38,3)),0)))</f>
        <v>243</v>
      </c>
      <c r="M38" s="48"/>
      <c r="N38" s="15" t="str">
        <f ca="1">IF(ROW()&gt;steps+10,"",getnewcolor(M38))</f>
        <v>14671859</v>
      </c>
      <c r="O38" s="19" t="str">
        <f ca="1">IF(ROW()&gt;steps+10,"",gethexcolor(M38))</f>
        <v>DFDFF3</v>
      </c>
    </row>
    <row r="39" spans="2:15" x14ac:dyDescent="0.25">
      <c r="B39" s="14">
        <f>IFERROR(IF(B38+1&gt;steps,"",B38+1),"")</f>
        <v>29</v>
      </c>
      <c r="C39" s="21"/>
      <c r="D39" s="15" t="str">
        <f ca="1">IF(ROW()&gt;steps+10,"",gethexcolor(C39))</f>
        <v>FFFFFF</v>
      </c>
      <c r="E39" s="16">
        <f ca="1">IF(ROW()&gt;steps+10,"",HEX2DEC(LEFT(D39,2)))</f>
        <v>255</v>
      </c>
      <c r="F39" s="16">
        <f ca="1">IF(ROW()&gt;steps+10,"",HEX2DEC(MID(D39,3,2)))</f>
        <v>255</v>
      </c>
      <c r="G39" s="16">
        <f ca="1">IF(ROW()&gt;steps+10,"",HEX2DEC(RIGHT(D39,2)))</f>
        <v>255</v>
      </c>
      <c r="H39" s="16">
        <f ca="1">IF(ROW()&gt;steps+10,"",nonMatch(D39,TRUE))</f>
        <v>26</v>
      </c>
      <c r="I39" s="16">
        <f ca="1">IF(ROW()&gt;steps+10,"",nonMatch(D39,FALSE))</f>
        <v>51</v>
      </c>
      <c r="J39" s="17">
        <f ca="1">IF(ROW()&gt;steps+10,"",IF($I39=$H39,E39,INDEX(INDIRECT(range),$H39,1)+ROUND(($B39-$H39)/($I39-$H39)*(INDEX(INDIRECT(range),$I39,1)-INDEX(INDIRECT(range),$H39,1)),0)))</f>
        <v>213</v>
      </c>
      <c r="K39" s="17">
        <f ca="1">IF(ROW()&gt;steps+10,"",IF($I39=$H39,F39,INDEX(INDIRECT(range),$H39,2)+ROUND(($B39-$H39)/($I39-$H39)*(INDEX(INDIRECT(range),$I39,2)-INDEX(INDIRECT(range),$H39,2)),0)))</f>
        <v>213</v>
      </c>
      <c r="L39" s="17">
        <f ca="1">IF(ROW()&gt;steps+10,"",IF($I39=$H39,G39,INDEX(INDIRECT(range),$H39,3)+ROUND(($B39-$H39)/($I39-$H39)*(INDEX(INDIRECT(range),$I39,3)-INDEX(INDIRECT(range),$H39,3)),0)))</f>
        <v>244</v>
      </c>
      <c r="M39" s="49"/>
      <c r="N39" s="15" t="str">
        <f ca="1">IF(ROW()&gt;steps+10,"",getnewcolor(M39))</f>
        <v>14013940</v>
      </c>
      <c r="O39" s="19" t="str">
        <f ca="1">IF(ROW()&gt;steps+10,"",gethexcolor(M39))</f>
        <v>D5D5F4</v>
      </c>
    </row>
    <row r="40" spans="2:15" x14ac:dyDescent="0.25">
      <c r="B40" s="14">
        <f>IFERROR(IF(B39+1&gt;steps,"",B39+1),"")</f>
        <v>30</v>
      </c>
      <c r="C40" s="21"/>
      <c r="D40" s="15" t="str">
        <f ca="1">IF(ROW()&gt;steps+10,"",gethexcolor(C40))</f>
        <v>FFFFFF</v>
      </c>
      <c r="E40" s="16">
        <f ca="1">IF(ROW()&gt;steps+10,"",HEX2DEC(LEFT(D40,2)))</f>
        <v>255</v>
      </c>
      <c r="F40" s="16">
        <f ca="1">IF(ROW()&gt;steps+10,"",HEX2DEC(MID(D40,3,2)))</f>
        <v>255</v>
      </c>
      <c r="G40" s="16">
        <f ca="1">IF(ROW()&gt;steps+10,"",HEX2DEC(RIGHT(D40,2)))</f>
        <v>255</v>
      </c>
      <c r="H40" s="16">
        <f ca="1">IF(ROW()&gt;steps+10,"",nonMatch(D40,TRUE))</f>
        <v>26</v>
      </c>
      <c r="I40" s="16">
        <f ca="1">IF(ROW()&gt;steps+10,"",nonMatch(D40,FALSE))</f>
        <v>51</v>
      </c>
      <c r="J40" s="17">
        <f ca="1">IF(ROW()&gt;steps+10,"",IF($I40=$H40,E40,INDEX(INDIRECT(range),$H40,1)+ROUND(($B40-$H40)/($I40-$H40)*(INDEX(INDIRECT(range),$I40,1)-INDEX(INDIRECT(range),$H40,1)),0)))</f>
        <v>203</v>
      </c>
      <c r="K40" s="17">
        <f ca="1">IF(ROW()&gt;steps+10,"",IF($I40=$H40,F40,INDEX(INDIRECT(range),$H40,2)+ROUND(($B40-$H40)/($I40-$H40)*(INDEX(INDIRECT(range),$I40,2)-INDEX(INDIRECT(range),$H40,2)),0)))</f>
        <v>203</v>
      </c>
      <c r="L40" s="17">
        <f ca="1">IF(ROW()&gt;steps+10,"",IF($I40=$H40,G40,INDEX(INDIRECT(range),$H40,3)+ROUND(($B40-$H40)/($I40-$H40)*(INDEX(INDIRECT(range),$I40,3)-INDEX(INDIRECT(range),$H40,3)),0)))</f>
        <v>244</v>
      </c>
      <c r="M40" s="50"/>
      <c r="N40" s="15" t="str">
        <f ca="1">IF(ROW()&gt;steps+10,"",getnewcolor(M40))</f>
        <v>13356020</v>
      </c>
      <c r="O40" s="19" t="str">
        <f ca="1">IF(ROW()&gt;steps+10,"",gethexcolor(M40))</f>
        <v>CBCBF4</v>
      </c>
    </row>
    <row r="41" spans="2:15" x14ac:dyDescent="0.25">
      <c r="B41" s="14">
        <f>IFERROR(IF(B40+1&gt;steps,"",B40+1),"")</f>
        <v>31</v>
      </c>
      <c r="C41" s="21"/>
      <c r="D41" s="15" t="str">
        <f ca="1">IF(ROW()&gt;steps+10,"",gethexcolor(C41))</f>
        <v>FFFFFF</v>
      </c>
      <c r="E41" s="16">
        <f ca="1">IF(ROW()&gt;steps+10,"",HEX2DEC(LEFT(D41,2)))</f>
        <v>255</v>
      </c>
      <c r="F41" s="16">
        <f ca="1">IF(ROW()&gt;steps+10,"",HEX2DEC(MID(D41,3,2)))</f>
        <v>255</v>
      </c>
      <c r="G41" s="16">
        <f ca="1">IF(ROW()&gt;steps+10,"",HEX2DEC(RIGHT(D41,2)))</f>
        <v>255</v>
      </c>
      <c r="H41" s="16">
        <f ca="1">IF(ROW()&gt;steps+10,"",nonMatch(D41,TRUE))</f>
        <v>26</v>
      </c>
      <c r="I41" s="16">
        <f ca="1">IF(ROW()&gt;steps+10,"",nonMatch(D41,FALSE))</f>
        <v>51</v>
      </c>
      <c r="J41" s="17">
        <f ca="1">IF(ROW()&gt;steps+10,"",IF($I41=$H41,E41,INDEX(INDIRECT(range),$H41,1)+ROUND(($B41-$H41)/($I41-$H41)*(INDEX(INDIRECT(range),$I41,1)-INDEX(INDIRECT(range),$H41,1)),0)))</f>
        <v>194</v>
      </c>
      <c r="K41" s="17">
        <f ca="1">IF(ROW()&gt;steps+10,"",IF($I41=$H41,F41,INDEX(INDIRECT(range),$H41,2)+ROUND(($B41-$H41)/($I41-$H41)*(INDEX(INDIRECT(range),$I41,2)-INDEX(INDIRECT(range),$H41,2)),0)))</f>
        <v>194</v>
      </c>
      <c r="L41" s="17">
        <f ca="1">IF(ROW()&gt;steps+10,"",IF($I41=$H41,G41,INDEX(INDIRECT(range),$H41,3)+ROUND(($B41-$H41)/($I41-$H41)*(INDEX(INDIRECT(range),$I41,3)-INDEX(INDIRECT(range),$H41,3)),0)))</f>
        <v>245</v>
      </c>
      <c r="M41" s="51"/>
      <c r="N41" s="15" t="str">
        <f ca="1">IF(ROW()&gt;steps+10,"",getnewcolor(M41))</f>
        <v>12763893</v>
      </c>
      <c r="O41" s="19" t="str">
        <f ca="1">IF(ROW()&gt;steps+10,"",gethexcolor(M41))</f>
        <v>C2C2F5</v>
      </c>
    </row>
    <row r="42" spans="2:15" x14ac:dyDescent="0.25">
      <c r="B42" s="14">
        <f>IFERROR(IF(B41+1&gt;steps,"",B41+1),"")</f>
        <v>32</v>
      </c>
      <c r="C42" s="21"/>
      <c r="D42" s="15" t="str">
        <f ca="1">IF(ROW()&gt;steps+10,"",gethexcolor(C42))</f>
        <v>FFFFFF</v>
      </c>
      <c r="E42" s="16">
        <f ca="1">IF(ROW()&gt;steps+10,"",HEX2DEC(LEFT(D42,2)))</f>
        <v>255</v>
      </c>
      <c r="F42" s="16">
        <f ca="1">IF(ROW()&gt;steps+10,"",HEX2DEC(MID(D42,3,2)))</f>
        <v>255</v>
      </c>
      <c r="G42" s="16">
        <f ca="1">IF(ROW()&gt;steps+10,"",HEX2DEC(RIGHT(D42,2)))</f>
        <v>255</v>
      </c>
      <c r="H42" s="16">
        <f ca="1">IF(ROW()&gt;steps+10,"",nonMatch(D42,TRUE))</f>
        <v>26</v>
      </c>
      <c r="I42" s="16">
        <f ca="1">IF(ROW()&gt;steps+10,"",nonMatch(D42,FALSE))</f>
        <v>51</v>
      </c>
      <c r="J42" s="17">
        <f ca="1">IF(ROW()&gt;steps+10,"",IF($I42=$H42,E42,INDEX(INDIRECT(range),$H42,1)+ROUND(($B42-$H42)/($I42-$H42)*(INDEX(INDIRECT(range),$I42,1)-INDEX(INDIRECT(range),$H42,1)),0)))</f>
        <v>184</v>
      </c>
      <c r="K42" s="17">
        <f ca="1">IF(ROW()&gt;steps+10,"",IF($I42=$H42,F42,INDEX(INDIRECT(range),$H42,2)+ROUND(($B42-$H42)/($I42-$H42)*(INDEX(INDIRECT(range),$I42,2)-INDEX(INDIRECT(range),$H42,2)),0)))</f>
        <v>184</v>
      </c>
      <c r="L42" s="17">
        <f ca="1">IF(ROW()&gt;steps+10,"",IF($I42=$H42,G42,INDEX(INDIRECT(range),$H42,3)+ROUND(($B42-$H42)/($I42-$H42)*(INDEX(INDIRECT(range),$I42,3)-INDEX(INDIRECT(range),$H42,3)),0)))</f>
        <v>245</v>
      </c>
      <c r="M42" s="52"/>
      <c r="N42" s="15" t="str">
        <f ca="1">IF(ROW()&gt;steps+10,"",getnewcolor(M42))</f>
        <v>12105973</v>
      </c>
      <c r="O42" s="19" t="str">
        <f ca="1">IF(ROW()&gt;steps+10,"",gethexcolor(M42))</f>
        <v>B8B8F5</v>
      </c>
    </row>
    <row r="43" spans="2:15" x14ac:dyDescent="0.25">
      <c r="B43" s="14">
        <f>IFERROR(IF(B42+1&gt;steps,"",B42+1),"")</f>
        <v>33</v>
      </c>
      <c r="C43" s="21"/>
      <c r="D43" s="15" t="str">
        <f ca="1">IF(ROW()&gt;steps+10,"",gethexcolor(C43))</f>
        <v>FFFFFF</v>
      </c>
      <c r="E43" s="16">
        <f ca="1">IF(ROW()&gt;steps+10,"",HEX2DEC(LEFT(D43,2)))</f>
        <v>255</v>
      </c>
      <c r="F43" s="16">
        <f ca="1">IF(ROW()&gt;steps+10,"",HEX2DEC(MID(D43,3,2)))</f>
        <v>255</v>
      </c>
      <c r="G43" s="16">
        <f ca="1">IF(ROW()&gt;steps+10,"",HEX2DEC(RIGHT(D43,2)))</f>
        <v>255</v>
      </c>
      <c r="H43" s="16">
        <f ca="1">IF(ROW()&gt;steps+10,"",nonMatch(D43,TRUE))</f>
        <v>26</v>
      </c>
      <c r="I43" s="16">
        <f ca="1">IF(ROW()&gt;steps+10,"",nonMatch(D43,FALSE))</f>
        <v>51</v>
      </c>
      <c r="J43" s="17">
        <f ca="1">IF(ROW()&gt;steps+10,"",IF($I43=$H43,E43,INDEX(INDIRECT(range),$H43,1)+ROUND(($B43-$H43)/($I43-$H43)*(INDEX(INDIRECT(range),$I43,1)-INDEX(INDIRECT(range),$H43,1)),0)))</f>
        <v>174</v>
      </c>
      <c r="K43" s="17">
        <f ca="1">IF(ROW()&gt;steps+10,"",IF($I43=$H43,F43,INDEX(INDIRECT(range),$H43,2)+ROUND(($B43-$H43)/($I43-$H43)*(INDEX(INDIRECT(range),$I43,2)-INDEX(INDIRECT(range),$H43,2)),0)))</f>
        <v>174</v>
      </c>
      <c r="L43" s="17">
        <f ca="1">IF(ROW()&gt;steps+10,"",IF($I43=$H43,G43,INDEX(INDIRECT(range),$H43,3)+ROUND(($B43-$H43)/($I43-$H43)*(INDEX(INDIRECT(range),$I43,3)-INDEX(INDIRECT(range),$H43,3)),0)))</f>
        <v>246</v>
      </c>
      <c r="M43" s="53"/>
      <c r="N43" s="15" t="str">
        <f ca="1">IF(ROW()&gt;steps+10,"",getnewcolor(M43))</f>
        <v>11448054</v>
      </c>
      <c r="O43" s="19" t="str">
        <f ca="1">IF(ROW()&gt;steps+10,"",gethexcolor(M43))</f>
        <v>AEAEF6</v>
      </c>
    </row>
    <row r="44" spans="2:15" x14ac:dyDescent="0.25">
      <c r="B44" s="14">
        <f>IFERROR(IF(B43+1&gt;steps,"",B43+1),"")</f>
        <v>34</v>
      </c>
      <c r="C44" s="21"/>
      <c r="D44" s="15" t="str">
        <f ca="1">IF(ROW()&gt;steps+10,"",gethexcolor(C44))</f>
        <v>FFFFFF</v>
      </c>
      <c r="E44" s="16">
        <f ca="1">IF(ROW()&gt;steps+10,"",HEX2DEC(LEFT(D44,2)))</f>
        <v>255</v>
      </c>
      <c r="F44" s="16">
        <f ca="1">IF(ROW()&gt;steps+10,"",HEX2DEC(MID(D44,3,2)))</f>
        <v>255</v>
      </c>
      <c r="G44" s="16">
        <f ca="1">IF(ROW()&gt;steps+10,"",HEX2DEC(RIGHT(D44,2)))</f>
        <v>255</v>
      </c>
      <c r="H44" s="16">
        <f ca="1">IF(ROW()&gt;steps+10,"",nonMatch(D44,TRUE))</f>
        <v>26</v>
      </c>
      <c r="I44" s="16">
        <f ca="1">IF(ROW()&gt;steps+10,"",nonMatch(D44,FALSE))</f>
        <v>51</v>
      </c>
      <c r="J44" s="17">
        <f ca="1">IF(ROW()&gt;steps+10,"",IF($I44=$H44,E44,INDEX(INDIRECT(range),$H44,1)+ROUND(($B44-$H44)/($I44-$H44)*(INDEX(INDIRECT(range),$I44,1)-INDEX(INDIRECT(range),$H44,1)),0)))</f>
        <v>165</v>
      </c>
      <c r="K44" s="17">
        <f ca="1">IF(ROW()&gt;steps+10,"",IF($I44=$H44,F44,INDEX(INDIRECT(range),$H44,2)+ROUND(($B44-$H44)/($I44-$H44)*(INDEX(INDIRECT(range),$I44,2)-INDEX(INDIRECT(range),$H44,2)),0)))</f>
        <v>165</v>
      </c>
      <c r="L44" s="17">
        <f ca="1">IF(ROW()&gt;steps+10,"",IF($I44=$H44,G44,INDEX(INDIRECT(range),$H44,3)+ROUND(($B44-$H44)/($I44-$H44)*(INDEX(INDIRECT(range),$I44,3)-INDEX(INDIRECT(range),$H44,3)),0)))</f>
        <v>246</v>
      </c>
      <c r="M44" s="54"/>
      <c r="N44" s="15" t="str">
        <f ca="1">IF(ROW()&gt;steps+10,"",getnewcolor(M44))</f>
        <v>10855926</v>
      </c>
      <c r="O44" s="19" t="str">
        <f ca="1">IF(ROW()&gt;steps+10,"",gethexcolor(M44))</f>
        <v>A5A5F6</v>
      </c>
    </row>
    <row r="45" spans="2:15" x14ac:dyDescent="0.25">
      <c r="B45" s="14">
        <f>IFERROR(IF(B44+1&gt;steps,"",B44+1),"")</f>
        <v>35</v>
      </c>
      <c r="C45" s="21"/>
      <c r="D45" s="15" t="str">
        <f ca="1">IF(ROW()&gt;steps+10,"",gethexcolor(C45))</f>
        <v>FFFFFF</v>
      </c>
      <c r="E45" s="16">
        <f ca="1">IF(ROW()&gt;steps+10,"",HEX2DEC(LEFT(D45,2)))</f>
        <v>255</v>
      </c>
      <c r="F45" s="16">
        <f ca="1">IF(ROW()&gt;steps+10,"",HEX2DEC(MID(D45,3,2)))</f>
        <v>255</v>
      </c>
      <c r="G45" s="16">
        <f ca="1">IF(ROW()&gt;steps+10,"",HEX2DEC(RIGHT(D45,2)))</f>
        <v>255</v>
      </c>
      <c r="H45" s="16">
        <f ca="1">IF(ROW()&gt;steps+10,"",nonMatch(D45,TRUE))</f>
        <v>26</v>
      </c>
      <c r="I45" s="16">
        <f ca="1">IF(ROW()&gt;steps+10,"",nonMatch(D45,FALSE))</f>
        <v>51</v>
      </c>
      <c r="J45" s="17">
        <f ca="1">IF(ROW()&gt;steps+10,"",IF($I45=$H45,E45,INDEX(INDIRECT(range),$H45,1)+ROUND(($B45-$H45)/($I45-$H45)*(INDEX(INDIRECT(range),$I45,1)-INDEX(INDIRECT(range),$H45,1)),0)))</f>
        <v>155</v>
      </c>
      <c r="K45" s="17">
        <f ca="1">IF(ROW()&gt;steps+10,"",IF($I45=$H45,F45,INDEX(INDIRECT(range),$H45,2)+ROUND(($B45-$H45)/($I45-$H45)*(INDEX(INDIRECT(range),$I45,2)-INDEX(INDIRECT(range),$H45,2)),0)))</f>
        <v>155</v>
      </c>
      <c r="L45" s="17">
        <f ca="1">IF(ROW()&gt;steps+10,"",IF($I45=$H45,G45,INDEX(INDIRECT(range),$H45,3)+ROUND(($B45-$H45)/($I45-$H45)*(INDEX(INDIRECT(range),$I45,3)-INDEX(INDIRECT(range),$H45,3)),0)))</f>
        <v>247</v>
      </c>
      <c r="M45" s="55"/>
      <c r="N45" s="15" t="str">
        <f ca="1">IF(ROW()&gt;steps+10,"",getnewcolor(M45))</f>
        <v>10198007</v>
      </c>
      <c r="O45" s="19" t="str">
        <f ca="1">IF(ROW()&gt;steps+10,"",gethexcolor(M45))</f>
        <v>9B9BF7</v>
      </c>
    </row>
    <row r="46" spans="2:15" x14ac:dyDescent="0.25">
      <c r="B46" s="14">
        <f>IFERROR(IF(B45+1&gt;steps,"",B45+1),"")</f>
        <v>36</v>
      </c>
      <c r="C46" s="21"/>
      <c r="D46" s="15" t="str">
        <f ca="1">IF(ROW()&gt;steps+10,"",gethexcolor(C46))</f>
        <v>FFFFFF</v>
      </c>
      <c r="E46" s="16">
        <f ca="1">IF(ROW()&gt;steps+10,"",HEX2DEC(LEFT(D46,2)))</f>
        <v>255</v>
      </c>
      <c r="F46" s="16">
        <f ca="1">IF(ROW()&gt;steps+10,"",HEX2DEC(MID(D46,3,2)))</f>
        <v>255</v>
      </c>
      <c r="G46" s="16">
        <f ca="1">IF(ROW()&gt;steps+10,"",HEX2DEC(RIGHT(D46,2)))</f>
        <v>255</v>
      </c>
      <c r="H46" s="16">
        <f ca="1">IF(ROW()&gt;steps+10,"",nonMatch(D46,TRUE))</f>
        <v>26</v>
      </c>
      <c r="I46" s="16">
        <f ca="1">IF(ROW()&gt;steps+10,"",nonMatch(D46,FALSE))</f>
        <v>51</v>
      </c>
      <c r="J46" s="17">
        <f ca="1">IF(ROW()&gt;steps+10,"",IF($I46=$H46,E46,INDEX(INDIRECT(range),$H46,1)+ROUND(($B46-$H46)/($I46-$H46)*(INDEX(INDIRECT(range),$I46,1)-INDEX(INDIRECT(range),$H46,1)),0)))</f>
        <v>145</v>
      </c>
      <c r="K46" s="17">
        <f ca="1">IF(ROW()&gt;steps+10,"",IF($I46=$H46,F46,INDEX(INDIRECT(range),$H46,2)+ROUND(($B46-$H46)/($I46-$H46)*(INDEX(INDIRECT(range),$I46,2)-INDEX(INDIRECT(range),$H46,2)),0)))</f>
        <v>145</v>
      </c>
      <c r="L46" s="17">
        <f ca="1">IF(ROW()&gt;steps+10,"",IF($I46=$H46,G46,INDEX(INDIRECT(range),$H46,3)+ROUND(($B46-$H46)/($I46-$H46)*(INDEX(INDIRECT(range),$I46,3)-INDEX(INDIRECT(range),$H46,3)),0)))</f>
        <v>247</v>
      </c>
      <c r="M46" s="56"/>
      <c r="N46" s="15" t="str">
        <f ca="1">IF(ROW()&gt;steps+10,"",getnewcolor(M46))</f>
        <v>9540087</v>
      </c>
      <c r="O46" s="19" t="str">
        <f ca="1">IF(ROW()&gt;steps+10,"",gethexcolor(M46))</f>
        <v>9191F7</v>
      </c>
    </row>
    <row r="47" spans="2:15" x14ac:dyDescent="0.25">
      <c r="B47" s="14">
        <f>IFERROR(IF(B46+1&gt;steps,"",B46+1),"")</f>
        <v>37</v>
      </c>
      <c r="C47" s="21"/>
      <c r="D47" s="15" t="str">
        <f ca="1">IF(ROW()&gt;steps+10,"",gethexcolor(C47))</f>
        <v>FFFFFF</v>
      </c>
      <c r="E47" s="16">
        <f ca="1">IF(ROW()&gt;steps+10,"",HEX2DEC(LEFT(D47,2)))</f>
        <v>255</v>
      </c>
      <c r="F47" s="16">
        <f ca="1">IF(ROW()&gt;steps+10,"",HEX2DEC(MID(D47,3,2)))</f>
        <v>255</v>
      </c>
      <c r="G47" s="16">
        <f ca="1">IF(ROW()&gt;steps+10,"",HEX2DEC(RIGHT(D47,2)))</f>
        <v>255</v>
      </c>
      <c r="H47" s="16">
        <f ca="1">IF(ROW()&gt;steps+10,"",nonMatch(D47,TRUE))</f>
        <v>26</v>
      </c>
      <c r="I47" s="16">
        <f ca="1">IF(ROW()&gt;steps+10,"",nonMatch(D47,FALSE))</f>
        <v>51</v>
      </c>
      <c r="J47" s="17">
        <f ca="1">IF(ROW()&gt;steps+10,"",IF($I47=$H47,E47,INDEX(INDIRECT(range),$H47,1)+ROUND(($B47-$H47)/($I47-$H47)*(INDEX(INDIRECT(range),$I47,1)-INDEX(INDIRECT(range),$H47,1)),0)))</f>
        <v>136</v>
      </c>
      <c r="K47" s="17">
        <f ca="1">IF(ROW()&gt;steps+10,"",IF($I47=$H47,F47,INDEX(INDIRECT(range),$H47,2)+ROUND(($B47-$H47)/($I47-$H47)*(INDEX(INDIRECT(range),$I47,2)-INDEX(INDIRECT(range),$H47,2)),0)))</f>
        <v>136</v>
      </c>
      <c r="L47" s="17">
        <f ca="1">IF(ROW()&gt;steps+10,"",IF($I47=$H47,G47,INDEX(INDIRECT(range),$H47,3)+ROUND(($B47-$H47)/($I47-$H47)*(INDEX(INDIRECT(range),$I47,3)-INDEX(INDIRECT(range),$H47,3)),0)))</f>
        <v>248</v>
      </c>
      <c r="M47" s="57"/>
      <c r="N47" s="15" t="str">
        <f ca="1">IF(ROW()&gt;steps+10,"",getnewcolor(M47))</f>
        <v>8947960</v>
      </c>
      <c r="O47" s="19" t="str">
        <f ca="1">IF(ROW()&gt;steps+10,"",gethexcolor(M47))</f>
        <v>8888F8</v>
      </c>
    </row>
    <row r="48" spans="2:15" x14ac:dyDescent="0.25">
      <c r="B48" s="14">
        <f>IFERROR(IF(B47+1&gt;steps,"",B47+1),"")</f>
        <v>38</v>
      </c>
      <c r="C48" s="21"/>
      <c r="D48" s="15" t="str">
        <f ca="1">IF(ROW()&gt;steps+10,"",gethexcolor(C48))</f>
        <v>FFFFFF</v>
      </c>
      <c r="E48" s="16">
        <f ca="1">IF(ROW()&gt;steps+10,"",HEX2DEC(LEFT(D48,2)))</f>
        <v>255</v>
      </c>
      <c r="F48" s="16">
        <f ca="1">IF(ROW()&gt;steps+10,"",HEX2DEC(MID(D48,3,2)))</f>
        <v>255</v>
      </c>
      <c r="G48" s="16">
        <f ca="1">IF(ROW()&gt;steps+10,"",HEX2DEC(RIGHT(D48,2)))</f>
        <v>255</v>
      </c>
      <c r="H48" s="16">
        <f ca="1">IF(ROW()&gt;steps+10,"",nonMatch(D48,TRUE))</f>
        <v>26</v>
      </c>
      <c r="I48" s="16">
        <f ca="1">IF(ROW()&gt;steps+10,"",nonMatch(D48,FALSE))</f>
        <v>51</v>
      </c>
      <c r="J48" s="17">
        <f ca="1">IF(ROW()&gt;steps+10,"",IF($I48=$H48,E48,INDEX(INDIRECT(range),$H48,1)+ROUND(($B48-$H48)/($I48-$H48)*(INDEX(INDIRECT(range),$I48,1)-INDEX(INDIRECT(range),$H48,1)),0)))</f>
        <v>126</v>
      </c>
      <c r="K48" s="17">
        <f ca="1">IF(ROW()&gt;steps+10,"",IF($I48=$H48,F48,INDEX(INDIRECT(range),$H48,2)+ROUND(($B48-$H48)/($I48-$H48)*(INDEX(INDIRECT(range),$I48,2)-INDEX(INDIRECT(range),$H48,2)),0)))</f>
        <v>126</v>
      </c>
      <c r="L48" s="17">
        <f ca="1">IF(ROW()&gt;steps+10,"",IF($I48=$H48,G48,INDEX(INDIRECT(range),$H48,3)+ROUND(($B48-$H48)/($I48-$H48)*(INDEX(INDIRECT(range),$I48,3)-INDEX(INDIRECT(range),$H48,3)),0)))</f>
        <v>248</v>
      </c>
      <c r="M48" s="58"/>
      <c r="N48" s="15" t="str">
        <f ca="1">IF(ROW()&gt;steps+10,"",getnewcolor(M48))</f>
        <v>8290040</v>
      </c>
      <c r="O48" s="19" t="str">
        <f ca="1">IF(ROW()&gt;steps+10,"",gethexcolor(M48))</f>
        <v>7E7EF8</v>
      </c>
    </row>
    <row r="49" spans="2:15" x14ac:dyDescent="0.25">
      <c r="B49" s="14">
        <f>IFERROR(IF(B48+1&gt;steps,"",B48+1),"")</f>
        <v>39</v>
      </c>
      <c r="C49" s="21"/>
      <c r="D49" s="15" t="str">
        <f ca="1">IF(ROW()&gt;steps+10,"",gethexcolor(C49))</f>
        <v>FFFFFF</v>
      </c>
      <c r="E49" s="16">
        <f ca="1">IF(ROW()&gt;steps+10,"",HEX2DEC(LEFT(D49,2)))</f>
        <v>255</v>
      </c>
      <c r="F49" s="16">
        <f ca="1">IF(ROW()&gt;steps+10,"",HEX2DEC(MID(D49,3,2)))</f>
        <v>255</v>
      </c>
      <c r="G49" s="16">
        <f ca="1">IF(ROW()&gt;steps+10,"",HEX2DEC(RIGHT(D49,2)))</f>
        <v>255</v>
      </c>
      <c r="H49" s="16">
        <f ca="1">IF(ROW()&gt;steps+10,"",nonMatch(D49,TRUE))</f>
        <v>26</v>
      </c>
      <c r="I49" s="16">
        <f ca="1">IF(ROW()&gt;steps+10,"",nonMatch(D49,FALSE))</f>
        <v>51</v>
      </c>
      <c r="J49" s="17">
        <f ca="1">IF(ROW()&gt;steps+10,"",IF($I49=$H49,E49,INDEX(INDIRECT(range),$H49,1)+ROUND(($B49-$H49)/($I49-$H49)*(INDEX(INDIRECT(range),$I49,1)-INDEX(INDIRECT(range),$H49,1)),0)))</f>
        <v>116</v>
      </c>
      <c r="K49" s="17">
        <f ca="1">IF(ROW()&gt;steps+10,"",IF($I49=$H49,F49,INDEX(INDIRECT(range),$H49,2)+ROUND(($B49-$H49)/($I49-$H49)*(INDEX(INDIRECT(range),$I49,2)-INDEX(INDIRECT(range),$H49,2)),0)))</f>
        <v>116</v>
      </c>
      <c r="L49" s="17">
        <f ca="1">IF(ROW()&gt;steps+10,"",IF($I49=$H49,G49,INDEX(INDIRECT(range),$H49,3)+ROUND(($B49-$H49)/($I49-$H49)*(INDEX(INDIRECT(range),$I49,3)-INDEX(INDIRECT(range),$H49,3)),0)))</f>
        <v>249</v>
      </c>
      <c r="M49" s="59"/>
      <c r="N49" s="15" t="str">
        <f ca="1">IF(ROW()&gt;steps+10,"",getnewcolor(M49))</f>
        <v>7632121</v>
      </c>
      <c r="O49" s="19" t="str">
        <f ca="1">IF(ROW()&gt;steps+10,"",gethexcolor(M49))</f>
        <v>7474F9</v>
      </c>
    </row>
    <row r="50" spans="2:15" x14ac:dyDescent="0.25">
      <c r="B50" s="14">
        <f>IFERROR(IF(B49+1&gt;steps,"",B49+1),"")</f>
        <v>40</v>
      </c>
      <c r="C50" s="21"/>
      <c r="D50" s="15" t="str">
        <f ca="1">IF(ROW()&gt;steps+10,"",gethexcolor(C50))</f>
        <v>FFFFFF</v>
      </c>
      <c r="E50" s="16">
        <f ca="1">IF(ROW()&gt;steps+10,"",HEX2DEC(LEFT(D50,2)))</f>
        <v>255</v>
      </c>
      <c r="F50" s="16">
        <f ca="1">IF(ROW()&gt;steps+10,"",HEX2DEC(MID(D50,3,2)))</f>
        <v>255</v>
      </c>
      <c r="G50" s="16">
        <f ca="1">IF(ROW()&gt;steps+10,"",HEX2DEC(RIGHT(D50,2)))</f>
        <v>255</v>
      </c>
      <c r="H50" s="16">
        <f ca="1">IF(ROW()&gt;steps+10,"",nonMatch(D50,TRUE))</f>
        <v>26</v>
      </c>
      <c r="I50" s="16">
        <f ca="1">IF(ROW()&gt;steps+10,"",nonMatch(D50,FALSE))</f>
        <v>51</v>
      </c>
      <c r="J50" s="17">
        <f ca="1">IF(ROW()&gt;steps+10,"",IF($I50=$H50,E50,INDEX(INDIRECT(range),$H50,1)+ROUND(($B50-$H50)/($I50-$H50)*(INDEX(INDIRECT(range),$I50,1)-INDEX(INDIRECT(range),$H50,1)),0)))</f>
        <v>106</v>
      </c>
      <c r="K50" s="17">
        <f ca="1">IF(ROW()&gt;steps+10,"",IF($I50=$H50,F50,INDEX(INDIRECT(range),$H50,2)+ROUND(($B50-$H50)/($I50-$H50)*(INDEX(INDIRECT(range),$I50,2)-INDEX(INDIRECT(range),$H50,2)),0)))</f>
        <v>106</v>
      </c>
      <c r="L50" s="17">
        <f ca="1">IF(ROW()&gt;steps+10,"",IF($I50=$H50,G50,INDEX(INDIRECT(range),$H50,3)+ROUND(($B50-$H50)/($I50-$H50)*(INDEX(INDIRECT(range),$I50,3)-INDEX(INDIRECT(range),$H50,3)),0)))</f>
        <v>249</v>
      </c>
      <c r="M50" s="60"/>
      <c r="N50" s="15" t="str">
        <f ca="1">IF(ROW()&gt;steps+10,"",getnewcolor(M50))</f>
        <v>6974201</v>
      </c>
      <c r="O50" s="19" t="str">
        <f ca="1">IF(ROW()&gt;steps+10,"",gethexcolor(M50))</f>
        <v>6A6AF9</v>
      </c>
    </row>
    <row r="51" spans="2:15" x14ac:dyDescent="0.25">
      <c r="B51" s="14">
        <f>IFERROR(IF(B50+1&gt;steps,"",B50+1),"")</f>
        <v>41</v>
      </c>
      <c r="C51" s="21"/>
      <c r="D51" s="15" t="str">
        <f ca="1">IF(ROW()&gt;steps+10,"",gethexcolor(C51))</f>
        <v>FFFFFF</v>
      </c>
      <c r="E51" s="16">
        <f ca="1">IF(ROW()&gt;steps+10,"",HEX2DEC(LEFT(D51,2)))</f>
        <v>255</v>
      </c>
      <c r="F51" s="16">
        <f ca="1">IF(ROW()&gt;steps+10,"",HEX2DEC(MID(D51,3,2)))</f>
        <v>255</v>
      </c>
      <c r="G51" s="16">
        <f ca="1">IF(ROW()&gt;steps+10,"",HEX2DEC(RIGHT(D51,2)))</f>
        <v>255</v>
      </c>
      <c r="H51" s="16">
        <f ca="1">IF(ROW()&gt;steps+10,"",nonMatch(D51,TRUE))</f>
        <v>26</v>
      </c>
      <c r="I51" s="16">
        <f ca="1">IF(ROW()&gt;steps+10,"",nonMatch(D51,FALSE))</f>
        <v>51</v>
      </c>
      <c r="J51" s="17">
        <f ca="1">IF(ROW()&gt;steps+10,"",IF($I51=$H51,E51,INDEX(INDIRECT(range),$H51,1)+ROUND(($B51-$H51)/($I51-$H51)*(INDEX(INDIRECT(range),$I51,1)-INDEX(INDIRECT(range),$H51,1)),0)))</f>
        <v>97</v>
      </c>
      <c r="K51" s="17">
        <f ca="1">IF(ROW()&gt;steps+10,"",IF($I51=$H51,F51,INDEX(INDIRECT(range),$H51,2)+ROUND(($B51-$H51)/($I51-$H51)*(INDEX(INDIRECT(range),$I51,2)-INDEX(INDIRECT(range),$H51,2)),0)))</f>
        <v>97</v>
      </c>
      <c r="L51" s="17">
        <f ca="1">IF(ROW()&gt;steps+10,"",IF($I51=$H51,G51,INDEX(INDIRECT(range),$H51,3)+ROUND(($B51-$H51)/($I51-$H51)*(INDEX(INDIRECT(range),$I51,3)-INDEX(INDIRECT(range),$H51,3)),0)))</f>
        <v>250</v>
      </c>
      <c r="M51" s="61"/>
      <c r="N51" s="15" t="str">
        <f ca="1">IF(ROW()&gt;steps+10,"",getnewcolor(M51))</f>
        <v>6382074</v>
      </c>
      <c r="O51" s="19" t="str">
        <f ca="1">IF(ROW()&gt;steps+10,"",gethexcolor(M51))</f>
        <v>6161FA</v>
      </c>
    </row>
    <row r="52" spans="2:15" x14ac:dyDescent="0.25">
      <c r="B52" s="14">
        <f>IFERROR(IF(B51+1&gt;steps,"",B51+1),"")</f>
        <v>42</v>
      </c>
      <c r="C52" s="21"/>
      <c r="D52" s="15" t="str">
        <f ca="1">IF(ROW()&gt;steps+10,"",gethexcolor(C52))</f>
        <v>FFFFFF</v>
      </c>
      <c r="E52" s="16">
        <f ca="1">IF(ROW()&gt;steps+10,"",HEX2DEC(LEFT(D52,2)))</f>
        <v>255</v>
      </c>
      <c r="F52" s="16">
        <f ca="1">IF(ROW()&gt;steps+10,"",HEX2DEC(MID(D52,3,2)))</f>
        <v>255</v>
      </c>
      <c r="G52" s="16">
        <f ca="1">IF(ROW()&gt;steps+10,"",HEX2DEC(RIGHT(D52,2)))</f>
        <v>255</v>
      </c>
      <c r="H52" s="16">
        <f ca="1">IF(ROW()&gt;steps+10,"",nonMatch(D52,TRUE))</f>
        <v>26</v>
      </c>
      <c r="I52" s="16">
        <f ca="1">IF(ROW()&gt;steps+10,"",nonMatch(D52,FALSE))</f>
        <v>51</v>
      </c>
      <c r="J52" s="17">
        <f ca="1">IF(ROW()&gt;steps+10,"",IF($I52=$H52,E52,INDEX(INDIRECT(range),$H52,1)+ROUND(($B52-$H52)/($I52-$H52)*(INDEX(INDIRECT(range),$I52,1)-INDEX(INDIRECT(range),$H52,1)),0)))</f>
        <v>87</v>
      </c>
      <c r="K52" s="17">
        <f ca="1">IF(ROW()&gt;steps+10,"",IF($I52=$H52,F52,INDEX(INDIRECT(range),$H52,2)+ROUND(($B52-$H52)/($I52-$H52)*(INDEX(INDIRECT(range),$I52,2)-INDEX(INDIRECT(range),$H52,2)),0)))</f>
        <v>87</v>
      </c>
      <c r="L52" s="17">
        <f ca="1">IF(ROW()&gt;steps+10,"",IF($I52=$H52,G52,INDEX(INDIRECT(range),$H52,3)+ROUND(($B52-$H52)/($I52-$H52)*(INDEX(INDIRECT(range),$I52,3)-INDEX(INDIRECT(range),$H52,3)),0)))</f>
        <v>250</v>
      </c>
      <c r="M52" s="62"/>
      <c r="N52" s="15" t="str">
        <f ca="1">IF(ROW()&gt;steps+10,"",getnewcolor(M52))</f>
        <v>5724154</v>
      </c>
      <c r="O52" s="19" t="str">
        <f ca="1">IF(ROW()&gt;steps+10,"",gethexcolor(M52))</f>
        <v>5757FA</v>
      </c>
    </row>
    <row r="53" spans="2:15" x14ac:dyDescent="0.25">
      <c r="B53" s="14">
        <f>IFERROR(IF(B52+1&gt;steps,"",B52+1),"")</f>
        <v>43</v>
      </c>
      <c r="C53" s="21"/>
      <c r="D53" s="15" t="str">
        <f ca="1">IF(ROW()&gt;steps+10,"",gethexcolor(C53))</f>
        <v>FFFFFF</v>
      </c>
      <c r="E53" s="16">
        <f ca="1">IF(ROW()&gt;steps+10,"",HEX2DEC(LEFT(D53,2)))</f>
        <v>255</v>
      </c>
      <c r="F53" s="16">
        <f ca="1">IF(ROW()&gt;steps+10,"",HEX2DEC(MID(D53,3,2)))</f>
        <v>255</v>
      </c>
      <c r="G53" s="16">
        <f ca="1">IF(ROW()&gt;steps+10,"",HEX2DEC(RIGHT(D53,2)))</f>
        <v>255</v>
      </c>
      <c r="H53" s="16">
        <f ca="1">IF(ROW()&gt;steps+10,"",nonMatch(D53,TRUE))</f>
        <v>26</v>
      </c>
      <c r="I53" s="16">
        <f ca="1">IF(ROW()&gt;steps+10,"",nonMatch(D53,FALSE))</f>
        <v>51</v>
      </c>
      <c r="J53" s="17">
        <f ca="1">IF(ROW()&gt;steps+10,"",IF($I53=$H53,E53,INDEX(INDIRECT(range),$H53,1)+ROUND(($B53-$H53)/($I53-$H53)*(INDEX(INDIRECT(range),$I53,1)-INDEX(INDIRECT(range),$H53,1)),0)))</f>
        <v>77</v>
      </c>
      <c r="K53" s="17">
        <f ca="1">IF(ROW()&gt;steps+10,"",IF($I53=$H53,F53,INDEX(INDIRECT(range),$H53,2)+ROUND(($B53-$H53)/($I53-$H53)*(INDEX(INDIRECT(range),$I53,2)-INDEX(INDIRECT(range),$H53,2)),0)))</f>
        <v>77</v>
      </c>
      <c r="L53" s="17">
        <f ca="1">IF(ROW()&gt;steps+10,"",IF($I53=$H53,G53,INDEX(INDIRECT(range),$H53,3)+ROUND(($B53-$H53)/($I53-$H53)*(INDEX(INDIRECT(range),$I53,3)-INDEX(INDIRECT(range),$H53,3)),0)))</f>
        <v>251</v>
      </c>
      <c r="M53" s="63"/>
      <c r="N53" s="15" t="str">
        <f ca="1">IF(ROW()&gt;steps+10,"",getnewcolor(M53))</f>
        <v>5066235</v>
      </c>
      <c r="O53" s="19" t="str">
        <f ca="1">IF(ROW()&gt;steps+10,"",gethexcolor(M53))</f>
        <v>4D4DFB</v>
      </c>
    </row>
    <row r="54" spans="2:15" x14ac:dyDescent="0.25">
      <c r="B54" s="14">
        <f>IFERROR(IF(B53+1&gt;steps,"",B53+1),"")</f>
        <v>44</v>
      </c>
      <c r="C54" s="21"/>
      <c r="D54" s="15" t="str">
        <f ca="1">IF(ROW()&gt;steps+10,"",gethexcolor(C54))</f>
        <v>FFFFFF</v>
      </c>
      <c r="E54" s="16">
        <f ca="1">IF(ROW()&gt;steps+10,"",HEX2DEC(LEFT(D54,2)))</f>
        <v>255</v>
      </c>
      <c r="F54" s="16">
        <f ca="1">IF(ROW()&gt;steps+10,"",HEX2DEC(MID(D54,3,2)))</f>
        <v>255</v>
      </c>
      <c r="G54" s="16">
        <f ca="1">IF(ROW()&gt;steps+10,"",HEX2DEC(RIGHT(D54,2)))</f>
        <v>255</v>
      </c>
      <c r="H54" s="16">
        <f ca="1">IF(ROW()&gt;steps+10,"",nonMatch(D54,TRUE))</f>
        <v>26</v>
      </c>
      <c r="I54" s="16">
        <f ca="1">IF(ROW()&gt;steps+10,"",nonMatch(D54,FALSE))</f>
        <v>51</v>
      </c>
      <c r="J54" s="17">
        <f ca="1">IF(ROW()&gt;steps+10,"",IF($I54=$H54,E54,INDEX(INDIRECT(range),$H54,1)+ROUND(($B54-$H54)/($I54-$H54)*(INDEX(INDIRECT(range),$I54,1)-INDEX(INDIRECT(range),$H54,1)),0)))</f>
        <v>68</v>
      </c>
      <c r="K54" s="17">
        <f ca="1">IF(ROW()&gt;steps+10,"",IF($I54=$H54,F54,INDEX(INDIRECT(range),$H54,2)+ROUND(($B54-$H54)/($I54-$H54)*(INDEX(INDIRECT(range),$I54,2)-INDEX(INDIRECT(range),$H54,2)),0)))</f>
        <v>68</v>
      </c>
      <c r="L54" s="17">
        <f ca="1">IF(ROW()&gt;steps+10,"",IF($I54=$H54,G54,INDEX(INDIRECT(range),$H54,3)+ROUND(($B54-$H54)/($I54-$H54)*(INDEX(INDIRECT(range),$I54,3)-INDEX(INDIRECT(range),$H54,3)),0)))</f>
        <v>251</v>
      </c>
      <c r="M54" s="64"/>
      <c r="N54" s="15" t="str">
        <f ca="1">IF(ROW()&gt;steps+10,"",getnewcolor(M54))</f>
        <v>4474107</v>
      </c>
      <c r="O54" s="19" t="str">
        <f ca="1">IF(ROW()&gt;steps+10,"",gethexcolor(M54))</f>
        <v>4444FB</v>
      </c>
    </row>
    <row r="55" spans="2:15" x14ac:dyDescent="0.25">
      <c r="B55" s="14">
        <f>IFERROR(IF(B54+1&gt;steps,"",B54+1),"")</f>
        <v>45</v>
      </c>
      <c r="C55" s="21"/>
      <c r="D55" s="15" t="str">
        <f ca="1">IF(ROW()&gt;steps+10,"",gethexcolor(C55))</f>
        <v>FFFFFF</v>
      </c>
      <c r="E55" s="16">
        <f ca="1">IF(ROW()&gt;steps+10,"",HEX2DEC(LEFT(D55,2)))</f>
        <v>255</v>
      </c>
      <c r="F55" s="16">
        <f ca="1">IF(ROW()&gt;steps+10,"",HEX2DEC(MID(D55,3,2)))</f>
        <v>255</v>
      </c>
      <c r="G55" s="16">
        <f ca="1">IF(ROW()&gt;steps+10,"",HEX2DEC(RIGHT(D55,2)))</f>
        <v>255</v>
      </c>
      <c r="H55" s="16">
        <f ca="1">IF(ROW()&gt;steps+10,"",nonMatch(D55,TRUE))</f>
        <v>26</v>
      </c>
      <c r="I55" s="16">
        <f ca="1">IF(ROW()&gt;steps+10,"",nonMatch(D55,FALSE))</f>
        <v>51</v>
      </c>
      <c r="J55" s="17">
        <f ca="1">IF(ROW()&gt;steps+10,"",IF($I55=$H55,E55,INDEX(INDIRECT(range),$H55,1)+ROUND(($B55-$H55)/($I55-$H55)*(INDEX(INDIRECT(range),$I55,1)-INDEX(INDIRECT(range),$H55,1)),0)))</f>
        <v>58</v>
      </c>
      <c r="K55" s="17">
        <f ca="1">IF(ROW()&gt;steps+10,"",IF($I55=$H55,F55,INDEX(INDIRECT(range),$H55,2)+ROUND(($B55-$H55)/($I55-$H55)*(INDEX(INDIRECT(range),$I55,2)-INDEX(INDIRECT(range),$H55,2)),0)))</f>
        <v>58</v>
      </c>
      <c r="L55" s="17">
        <f ca="1">IF(ROW()&gt;steps+10,"",IF($I55=$H55,G55,INDEX(INDIRECT(range),$H55,3)+ROUND(($B55-$H55)/($I55-$H55)*(INDEX(INDIRECT(range),$I55,3)-INDEX(INDIRECT(range),$H55,3)),0)))</f>
        <v>252</v>
      </c>
      <c r="M55" s="65"/>
      <c r="N55" s="15" t="str">
        <f ca="1">IF(ROW()&gt;steps+10,"",getnewcolor(M55))</f>
        <v>3816188</v>
      </c>
      <c r="O55" s="19" t="str">
        <f ca="1">IF(ROW()&gt;steps+10,"",gethexcolor(M55))</f>
        <v>3A3AFC</v>
      </c>
    </row>
    <row r="56" spans="2:15" x14ac:dyDescent="0.25">
      <c r="B56" s="14">
        <f>IFERROR(IF(B55+1&gt;steps,"",B55+1),"")</f>
        <v>46</v>
      </c>
      <c r="C56" s="21"/>
      <c r="D56" s="15" t="str">
        <f ca="1">IF(ROW()&gt;steps+10,"",gethexcolor(C56))</f>
        <v>FFFFFF</v>
      </c>
      <c r="E56" s="16">
        <f ca="1">IF(ROW()&gt;steps+10,"",HEX2DEC(LEFT(D56,2)))</f>
        <v>255</v>
      </c>
      <c r="F56" s="16">
        <f ca="1">IF(ROW()&gt;steps+10,"",HEX2DEC(MID(D56,3,2)))</f>
        <v>255</v>
      </c>
      <c r="G56" s="16">
        <f ca="1">IF(ROW()&gt;steps+10,"",HEX2DEC(RIGHT(D56,2)))</f>
        <v>255</v>
      </c>
      <c r="H56" s="16">
        <f ca="1">IF(ROW()&gt;steps+10,"",nonMatch(D56,TRUE))</f>
        <v>26</v>
      </c>
      <c r="I56" s="16">
        <f ca="1">IF(ROW()&gt;steps+10,"",nonMatch(D56,FALSE))</f>
        <v>51</v>
      </c>
      <c r="J56" s="17">
        <f ca="1">IF(ROW()&gt;steps+10,"",IF($I56=$H56,E56,INDEX(INDIRECT(range),$H56,1)+ROUND(($B56-$H56)/($I56-$H56)*(INDEX(INDIRECT(range),$I56,1)-INDEX(INDIRECT(range),$H56,1)),0)))</f>
        <v>48</v>
      </c>
      <c r="K56" s="17">
        <f ca="1">IF(ROW()&gt;steps+10,"",IF($I56=$H56,F56,INDEX(INDIRECT(range),$H56,2)+ROUND(($B56-$H56)/($I56-$H56)*(INDEX(INDIRECT(range),$I56,2)-INDEX(INDIRECT(range),$H56,2)),0)))</f>
        <v>48</v>
      </c>
      <c r="L56" s="17">
        <f ca="1">IF(ROW()&gt;steps+10,"",IF($I56=$H56,G56,INDEX(INDIRECT(range),$H56,3)+ROUND(($B56-$H56)/($I56-$H56)*(INDEX(INDIRECT(range),$I56,3)-INDEX(INDIRECT(range),$H56,3)),0)))</f>
        <v>252</v>
      </c>
      <c r="M56" s="66"/>
      <c r="N56" s="15" t="str">
        <f ca="1">IF(ROW()&gt;steps+10,"",getnewcolor(M56))</f>
        <v>3158268</v>
      </c>
      <c r="O56" s="19" t="str">
        <f ca="1">IF(ROW()&gt;steps+10,"",gethexcolor(M56))</f>
        <v>3030FC</v>
      </c>
    </row>
    <row r="57" spans="2:15" x14ac:dyDescent="0.25">
      <c r="B57" s="14">
        <f>IFERROR(IF(B56+1&gt;steps,"",B56+1),"")</f>
        <v>47</v>
      </c>
      <c r="C57" s="21"/>
      <c r="D57" s="15" t="str">
        <f ca="1">IF(ROW()&gt;steps+10,"",gethexcolor(C57))</f>
        <v>FFFFFF</v>
      </c>
      <c r="E57" s="16">
        <f ca="1">IF(ROW()&gt;steps+10,"",HEX2DEC(LEFT(D57,2)))</f>
        <v>255</v>
      </c>
      <c r="F57" s="16">
        <f ca="1">IF(ROW()&gt;steps+10,"",HEX2DEC(MID(D57,3,2)))</f>
        <v>255</v>
      </c>
      <c r="G57" s="16">
        <f ca="1">IF(ROW()&gt;steps+10,"",HEX2DEC(RIGHT(D57,2)))</f>
        <v>255</v>
      </c>
      <c r="H57" s="16">
        <f ca="1">IF(ROW()&gt;steps+10,"",nonMatch(D57,TRUE))</f>
        <v>26</v>
      </c>
      <c r="I57" s="16">
        <f ca="1">IF(ROW()&gt;steps+10,"",nonMatch(D57,FALSE))</f>
        <v>51</v>
      </c>
      <c r="J57" s="17">
        <f ca="1">IF(ROW()&gt;steps+10,"",IF($I57=$H57,E57,INDEX(INDIRECT(range),$H57,1)+ROUND(($B57-$H57)/($I57-$H57)*(INDEX(INDIRECT(range),$I57,1)-INDEX(INDIRECT(range),$H57,1)),0)))</f>
        <v>39</v>
      </c>
      <c r="K57" s="17">
        <f ca="1">IF(ROW()&gt;steps+10,"",IF($I57=$H57,F57,INDEX(INDIRECT(range),$H57,2)+ROUND(($B57-$H57)/($I57-$H57)*(INDEX(INDIRECT(range),$I57,2)-INDEX(INDIRECT(range),$H57,2)),0)))</f>
        <v>39</v>
      </c>
      <c r="L57" s="17">
        <f ca="1">IF(ROW()&gt;steps+10,"",IF($I57=$H57,G57,INDEX(INDIRECT(range),$H57,3)+ROUND(($B57-$H57)/($I57-$H57)*(INDEX(INDIRECT(range),$I57,3)-INDEX(INDIRECT(range),$H57,3)),0)))</f>
        <v>253</v>
      </c>
      <c r="M57" s="67"/>
      <c r="N57" s="15" t="str">
        <f ca="1">IF(ROW()&gt;steps+10,"",getnewcolor(M57))</f>
        <v>2566141</v>
      </c>
      <c r="O57" s="19" t="str">
        <f ca="1">IF(ROW()&gt;steps+10,"",gethexcolor(M57))</f>
        <v>2727FD</v>
      </c>
    </row>
    <row r="58" spans="2:15" x14ac:dyDescent="0.25">
      <c r="B58" s="14">
        <f>IFERROR(IF(B57+1&gt;steps,"",B57+1),"")</f>
        <v>48</v>
      </c>
      <c r="C58" s="21"/>
      <c r="D58" s="15" t="str">
        <f ca="1">IF(ROW()&gt;steps+10,"",gethexcolor(C58))</f>
        <v>FFFFFF</v>
      </c>
      <c r="E58" s="16">
        <f ca="1">IF(ROW()&gt;steps+10,"",HEX2DEC(LEFT(D58,2)))</f>
        <v>255</v>
      </c>
      <c r="F58" s="16">
        <f ca="1">IF(ROW()&gt;steps+10,"",HEX2DEC(MID(D58,3,2)))</f>
        <v>255</v>
      </c>
      <c r="G58" s="16">
        <f ca="1">IF(ROW()&gt;steps+10,"",HEX2DEC(RIGHT(D58,2)))</f>
        <v>255</v>
      </c>
      <c r="H58" s="16">
        <f ca="1">IF(ROW()&gt;steps+10,"",nonMatch(D58,TRUE))</f>
        <v>26</v>
      </c>
      <c r="I58" s="16">
        <f ca="1">IF(ROW()&gt;steps+10,"",nonMatch(D58,FALSE))</f>
        <v>51</v>
      </c>
      <c r="J58" s="17">
        <f ca="1">IF(ROW()&gt;steps+10,"",IF($I58=$H58,E58,INDEX(INDIRECT(range),$H58,1)+ROUND(($B58-$H58)/($I58-$H58)*(INDEX(INDIRECT(range),$I58,1)-INDEX(INDIRECT(range),$H58,1)),0)))</f>
        <v>29</v>
      </c>
      <c r="K58" s="17">
        <f ca="1">IF(ROW()&gt;steps+10,"",IF($I58=$H58,F58,INDEX(INDIRECT(range),$H58,2)+ROUND(($B58-$H58)/($I58-$H58)*(INDEX(INDIRECT(range),$I58,2)-INDEX(INDIRECT(range),$H58,2)),0)))</f>
        <v>29</v>
      </c>
      <c r="L58" s="17">
        <f ca="1">IF(ROW()&gt;steps+10,"",IF($I58=$H58,G58,INDEX(INDIRECT(range),$H58,3)+ROUND(($B58-$H58)/($I58-$H58)*(INDEX(INDIRECT(range),$I58,3)-INDEX(INDIRECT(range),$H58,3)),0)))</f>
        <v>253</v>
      </c>
      <c r="M58" s="68"/>
      <c r="N58" s="15" t="str">
        <f ca="1">IF(ROW()&gt;steps+10,"",getnewcolor(M58))</f>
        <v>1908221</v>
      </c>
      <c r="O58" s="19" t="str">
        <f ca="1">IF(ROW()&gt;steps+10,"",gethexcolor(M58))</f>
        <v>1D1DFD</v>
      </c>
    </row>
    <row r="59" spans="2:15" x14ac:dyDescent="0.25">
      <c r="B59" s="14">
        <f>IFERROR(IF(B58+1&gt;steps,"",B58+1),"")</f>
        <v>49</v>
      </c>
      <c r="C59" s="21"/>
      <c r="D59" s="15" t="str">
        <f ca="1">IF(ROW()&gt;steps+10,"",gethexcolor(C59))</f>
        <v>FFFFFF</v>
      </c>
      <c r="E59" s="16">
        <f ca="1">IF(ROW()&gt;steps+10,"",HEX2DEC(LEFT(D59,2)))</f>
        <v>255</v>
      </c>
      <c r="F59" s="16">
        <f ca="1">IF(ROW()&gt;steps+10,"",HEX2DEC(MID(D59,3,2)))</f>
        <v>255</v>
      </c>
      <c r="G59" s="16">
        <f ca="1">IF(ROW()&gt;steps+10,"",HEX2DEC(RIGHT(D59,2)))</f>
        <v>255</v>
      </c>
      <c r="H59" s="16">
        <f ca="1">IF(ROW()&gt;steps+10,"",nonMatch(D59,TRUE))</f>
        <v>26</v>
      </c>
      <c r="I59" s="16">
        <f ca="1">IF(ROW()&gt;steps+10,"",nonMatch(D59,FALSE))</f>
        <v>51</v>
      </c>
      <c r="J59" s="17">
        <f ca="1">IF(ROW()&gt;steps+10,"",IF($I59=$H59,E59,INDEX(INDIRECT(range),$H59,1)+ROUND(($B59-$H59)/($I59-$H59)*(INDEX(INDIRECT(range),$I59,1)-INDEX(INDIRECT(range),$H59,1)),0)))</f>
        <v>19</v>
      </c>
      <c r="K59" s="17">
        <f ca="1">IF(ROW()&gt;steps+10,"",IF($I59=$H59,F59,INDEX(INDIRECT(range),$H59,2)+ROUND(($B59-$H59)/($I59-$H59)*(INDEX(INDIRECT(range),$I59,2)-INDEX(INDIRECT(range),$H59,2)),0)))</f>
        <v>19</v>
      </c>
      <c r="L59" s="17">
        <f ca="1">IF(ROW()&gt;steps+10,"",IF($I59=$H59,G59,INDEX(INDIRECT(range),$H59,3)+ROUND(($B59-$H59)/($I59-$H59)*(INDEX(INDIRECT(range),$I59,3)-INDEX(INDIRECT(range),$H59,3)),0)))</f>
        <v>254</v>
      </c>
      <c r="M59" s="69"/>
      <c r="N59" s="15" t="str">
        <f ca="1">IF(ROW()&gt;steps+10,"",getnewcolor(M59))</f>
        <v>1250302</v>
      </c>
      <c r="O59" s="19" t="str">
        <f ca="1">IF(ROW()&gt;steps+10,"",gethexcolor(M59))</f>
        <v>1313FE</v>
      </c>
    </row>
    <row r="60" spans="2:15" x14ac:dyDescent="0.25">
      <c r="B60" s="14">
        <f>IFERROR(IF(B59+1&gt;steps,"",B59+1),"")</f>
        <v>50</v>
      </c>
      <c r="C60" s="21"/>
      <c r="D60" s="15" t="str">
        <f ca="1">IF(ROW()&gt;steps+10,"",gethexcolor(C60))</f>
        <v>FFFFFF</v>
      </c>
      <c r="E60" s="16">
        <f ca="1">IF(ROW()&gt;steps+10,"",HEX2DEC(LEFT(D60,2)))</f>
        <v>255</v>
      </c>
      <c r="F60" s="16">
        <f ca="1">IF(ROW()&gt;steps+10,"",HEX2DEC(MID(D60,3,2)))</f>
        <v>255</v>
      </c>
      <c r="G60" s="16">
        <f ca="1">IF(ROW()&gt;steps+10,"",HEX2DEC(RIGHT(D60,2)))</f>
        <v>255</v>
      </c>
      <c r="H60" s="16">
        <f ca="1">IF(ROW()&gt;steps+10,"",nonMatch(D60,TRUE))</f>
        <v>26</v>
      </c>
      <c r="I60" s="16">
        <f ca="1">IF(ROW()&gt;steps+10,"",nonMatch(D60,FALSE))</f>
        <v>51</v>
      </c>
      <c r="J60" s="17">
        <f ca="1">IF(ROW()&gt;steps+10,"",IF($I60=$H60,E60,INDEX(INDIRECT(range),$H60,1)+ROUND(($B60-$H60)/($I60-$H60)*(INDEX(INDIRECT(range),$I60,1)-INDEX(INDIRECT(range),$H60,1)),0)))</f>
        <v>10</v>
      </c>
      <c r="K60" s="17">
        <f ca="1">IF(ROW()&gt;steps+10,"",IF($I60=$H60,F60,INDEX(INDIRECT(range),$H60,2)+ROUND(($B60-$H60)/($I60-$H60)*(INDEX(INDIRECT(range),$I60,2)-INDEX(INDIRECT(range),$H60,2)),0)))</f>
        <v>10</v>
      </c>
      <c r="L60" s="17">
        <f ca="1">IF(ROW()&gt;steps+10,"",IF($I60=$H60,G60,INDEX(INDIRECT(range),$H60,3)+ROUND(($B60-$H60)/($I60-$H60)*(INDEX(INDIRECT(range),$I60,3)-INDEX(INDIRECT(range),$H60,3)),0)))</f>
        <v>254</v>
      </c>
      <c r="M60" s="70"/>
      <c r="N60" s="15" t="str">
        <f ca="1">IF(ROW()&gt;steps+10,"",getnewcolor(M60))</f>
        <v>658174</v>
      </c>
      <c r="O60" s="19" t="str">
        <f ca="1">IF(ROW()&gt;steps+10,"",gethexcolor(M60))</f>
        <v>0A0AFE</v>
      </c>
    </row>
    <row r="61" spans="2:15" x14ac:dyDescent="0.25">
      <c r="B61" s="14">
        <f>IFERROR(IF(B60+1&gt;steps,"",B60+1),"")</f>
        <v>51</v>
      </c>
      <c r="C61" s="71"/>
      <c r="D61" s="15" t="str">
        <f ca="1">IF(ROW()&gt;steps+10,"",gethexcolor(C61))</f>
        <v>0000FF</v>
      </c>
      <c r="E61" s="16">
        <f ca="1">IF(ROW()&gt;steps+10,"",HEX2DEC(LEFT(D61,2)))</f>
        <v>0</v>
      </c>
      <c r="F61" s="16">
        <f ca="1">IF(ROW()&gt;steps+10,"",HEX2DEC(MID(D61,3,2)))</f>
        <v>0</v>
      </c>
      <c r="G61" s="16">
        <f ca="1">IF(ROW()&gt;steps+10,"",HEX2DEC(RIGHT(D61,2)))</f>
        <v>255</v>
      </c>
      <c r="H61" s="16">
        <f ca="1">IF(ROW()&gt;steps+10,"",nonMatch(D61,TRUE))</f>
        <v>51</v>
      </c>
      <c r="I61" s="16">
        <f ca="1">IF(ROW()&gt;steps+10,"",nonMatch(D61,FALSE))</f>
        <v>51</v>
      </c>
      <c r="J61" s="17">
        <f ca="1">IF(ROW()&gt;steps+10,"",IF($I61=$H61,E61,INDEX(INDIRECT(range),$H61,1)+ROUND(($B61-$H61)/($I61-$H61)*(INDEX(INDIRECT(range),$I61,1)-INDEX(INDIRECT(range),$H61,1)),0)))</f>
        <v>0</v>
      </c>
      <c r="K61" s="17">
        <f ca="1">IF(ROW()&gt;steps+10,"",IF($I61=$H61,F61,INDEX(INDIRECT(range),$H61,2)+ROUND(($B61-$H61)/($I61-$H61)*(INDEX(INDIRECT(range),$I61,2)-INDEX(INDIRECT(range),$H61,2)),0)))</f>
        <v>0</v>
      </c>
      <c r="L61" s="17">
        <f ca="1">IF(ROW()&gt;steps+10,"",IF($I61=$H61,G61,INDEX(INDIRECT(range),$H61,3)+ROUND(($B61-$H61)/($I61-$H61)*(INDEX(INDIRECT(range),$I61,3)-INDEX(INDIRECT(range),$H61,3)),0)))</f>
        <v>255</v>
      </c>
      <c r="M61" s="71"/>
      <c r="N61" s="15" t="str">
        <f ca="1">IF(ROW()&gt;steps+10,"",getnewcolor(M61))</f>
        <v>255</v>
      </c>
      <c r="O61" s="19" t="str">
        <f ca="1">IF(ROW()&gt;steps+10,"",gethexcolor(M61))</f>
        <v>0000FF</v>
      </c>
    </row>
    <row r="62" spans="2:15" x14ac:dyDescent="0.25">
      <c r="B62" s="14" t="str">
        <f>IFERROR(IF(B61+1&gt;steps,"",B61+1),"")</f>
        <v/>
      </c>
      <c r="C62" s="21"/>
      <c r="D62" s="15" t="str">
        <f>IF(ROW()&gt;steps+10,"",gethexcolor(C62))</f>
        <v/>
      </c>
      <c r="E62" s="16" t="str">
        <f>IF(ROW()&gt;steps+10,"",HEX2DEC(LEFT(D62,2)))</f>
        <v/>
      </c>
      <c r="F62" s="16" t="str">
        <f>IF(ROW()&gt;steps+10,"",HEX2DEC(MID(D62,3,2)))</f>
        <v/>
      </c>
      <c r="G62" s="16" t="str">
        <f>IF(ROW()&gt;steps+10,"",HEX2DEC(RIGHT(D62,2)))</f>
        <v/>
      </c>
      <c r="H62" s="16" t="str">
        <f>IF(ROW()&gt;steps+10,"",nonMatch(D62,TRUE))</f>
        <v/>
      </c>
      <c r="I62" s="16" t="str">
        <f>IF(ROW()&gt;steps+10,"",nonMatch(D62,FALSE))</f>
        <v/>
      </c>
      <c r="J62" s="17" t="str">
        <f ca="1">IF(ROW()&gt;steps+10,"",IF($I62=$H62,E62,INDEX(INDIRECT(range),$H62,1)+ROUND(($B62-$H62)/($I62-$H62)*(INDEX(INDIRECT(range),$I62,1)-INDEX(INDIRECT(range),$H62,1)),0)))</f>
        <v/>
      </c>
      <c r="K62" s="17" t="str">
        <f ca="1">IF(ROW()&gt;steps+10,"",IF($I62=$H62,F62,INDEX(INDIRECT(range),$H62,2)+ROUND(($B62-$H62)/($I62-$H62)*(INDEX(INDIRECT(range),$I62,2)-INDEX(INDIRECT(range),$H62,2)),0)))</f>
        <v/>
      </c>
      <c r="L62" s="17" t="str">
        <f ca="1">IF(ROW()&gt;steps+10,"",IF($I62=$H62,G62,INDEX(INDIRECT(range),$H62,3)+ROUND(($B62-$H62)/($I62-$H62)*(INDEX(INDIRECT(range),$I62,3)-INDEX(INDIRECT(range),$H62,3)),0)))</f>
        <v/>
      </c>
      <c r="M62" s="21"/>
      <c r="N62" s="15" t="str">
        <f>IF(ROW()&gt;steps+10,"",getnewcolor(M62))</f>
        <v/>
      </c>
      <c r="O62" s="19" t="str">
        <f>IF(ROW()&gt;steps+10,"",gethexcolor(M62))</f>
        <v/>
      </c>
    </row>
    <row r="63" spans="2:15" x14ac:dyDescent="0.25">
      <c r="B63" s="14" t="str">
        <f>IFERROR(IF(B62+1&gt;steps,"",B62+1),"")</f>
        <v/>
      </c>
      <c r="C63" s="21"/>
      <c r="D63" s="15" t="str">
        <f>IF(ROW()&gt;steps+10,"",gethexcolor(C63))</f>
        <v/>
      </c>
      <c r="E63" s="16" t="str">
        <f>IF(ROW()&gt;steps+10,"",HEX2DEC(LEFT(D63,2)))</f>
        <v/>
      </c>
      <c r="F63" s="16" t="str">
        <f>IF(ROW()&gt;steps+10,"",HEX2DEC(MID(D63,3,2)))</f>
        <v/>
      </c>
      <c r="G63" s="16" t="str">
        <f>IF(ROW()&gt;steps+10,"",HEX2DEC(RIGHT(D63,2)))</f>
        <v/>
      </c>
      <c r="H63" s="16" t="str">
        <f>IF(ROW()&gt;steps+10,"",nonMatch(D63,TRUE))</f>
        <v/>
      </c>
      <c r="I63" s="16" t="str">
        <f>IF(ROW()&gt;steps+10,"",nonMatch(D63,FALSE))</f>
        <v/>
      </c>
      <c r="J63" s="17" t="str">
        <f ca="1">IF(ROW()&gt;steps+10,"",IF($I63=$H63,E63,INDEX(INDIRECT(range),$H63,1)+ROUND(($B63-$H63)/($I63-$H63)*(INDEX(INDIRECT(range),$I63,1)-INDEX(INDIRECT(range),$H63,1)),0)))</f>
        <v/>
      </c>
      <c r="K63" s="17" t="str">
        <f ca="1">IF(ROW()&gt;steps+10,"",IF($I63=$H63,F63,INDEX(INDIRECT(range),$H63,2)+ROUND(($B63-$H63)/($I63-$H63)*(INDEX(INDIRECT(range),$I63,2)-INDEX(INDIRECT(range),$H63,2)),0)))</f>
        <v/>
      </c>
      <c r="L63" s="17" t="str">
        <f ca="1">IF(ROW()&gt;steps+10,"",IF($I63=$H63,G63,INDEX(INDIRECT(range),$H63,3)+ROUND(($B63-$H63)/($I63-$H63)*(INDEX(INDIRECT(range),$I63,3)-INDEX(INDIRECT(range),$H63,3)),0)))</f>
        <v/>
      </c>
      <c r="M63" s="21"/>
      <c r="N63" s="15" t="str">
        <f>IF(ROW()&gt;steps+10,"",getnewcolor(M63))</f>
        <v/>
      </c>
      <c r="O63" s="19" t="str">
        <f>IF(ROW()&gt;steps+10,"",gethexcolor(M63))</f>
        <v/>
      </c>
    </row>
    <row r="64" spans="2:15" x14ac:dyDescent="0.25">
      <c r="B64" s="14" t="str">
        <f>IFERROR(IF(B63+1&gt;steps,"",B63+1),"")</f>
        <v/>
      </c>
      <c r="C64" s="21"/>
      <c r="D64" s="15" t="str">
        <f>IF(ROW()&gt;steps+10,"",gethexcolor(C64))</f>
        <v/>
      </c>
      <c r="E64" s="16" t="str">
        <f>IF(ROW()&gt;steps+10,"",HEX2DEC(LEFT(D64,2)))</f>
        <v/>
      </c>
      <c r="F64" s="16" t="str">
        <f>IF(ROW()&gt;steps+10,"",HEX2DEC(MID(D64,3,2)))</f>
        <v/>
      </c>
      <c r="G64" s="16" t="str">
        <f>IF(ROW()&gt;steps+10,"",HEX2DEC(RIGHT(D64,2)))</f>
        <v/>
      </c>
      <c r="H64" s="16" t="str">
        <f>IF(ROW()&gt;steps+10,"",nonMatch(D64,TRUE))</f>
        <v/>
      </c>
      <c r="I64" s="16" t="str">
        <f>IF(ROW()&gt;steps+10,"",nonMatch(D64,FALSE))</f>
        <v/>
      </c>
      <c r="J64" s="17" t="str">
        <f ca="1">IF(ROW()&gt;steps+10,"",IF($I64=$H64,E64,INDEX(INDIRECT(range),$H64,1)+ROUND(($B64-$H64)/($I64-$H64)*(INDEX(INDIRECT(range),$I64,1)-INDEX(INDIRECT(range),$H64,1)),0)))</f>
        <v/>
      </c>
      <c r="K64" s="17" t="str">
        <f ca="1">IF(ROW()&gt;steps+10,"",IF($I64=$H64,F64,INDEX(INDIRECT(range),$H64,2)+ROUND(($B64-$H64)/($I64-$H64)*(INDEX(INDIRECT(range),$I64,2)-INDEX(INDIRECT(range),$H64,2)),0)))</f>
        <v/>
      </c>
      <c r="L64" s="17" t="str">
        <f ca="1">IF(ROW()&gt;steps+10,"",IF($I64=$H64,G64,INDEX(INDIRECT(range),$H64,3)+ROUND(($B64-$H64)/($I64-$H64)*(INDEX(INDIRECT(range),$I64,3)-INDEX(INDIRECT(range),$H64,3)),0)))</f>
        <v/>
      </c>
      <c r="M64" s="21"/>
      <c r="N64" s="15" t="str">
        <f>IF(ROW()&gt;steps+10,"",getnewcolor(M64))</f>
        <v/>
      </c>
      <c r="O64" s="19" t="str">
        <f>IF(ROW()&gt;steps+10,"",gethexcolor(M64))</f>
        <v/>
      </c>
    </row>
    <row r="65" spans="2:15" x14ac:dyDescent="0.25">
      <c r="B65" s="14" t="str">
        <f>IFERROR(IF(B64+1&gt;steps,"",B64+1),"")</f>
        <v/>
      </c>
      <c r="C65" s="21"/>
      <c r="D65" s="15" t="str">
        <f>IF(ROW()&gt;steps+10,"",gethexcolor(C65))</f>
        <v/>
      </c>
      <c r="E65" s="16" t="str">
        <f>IF(ROW()&gt;steps+10,"",HEX2DEC(LEFT(D65,2)))</f>
        <v/>
      </c>
      <c r="F65" s="16" t="str">
        <f>IF(ROW()&gt;steps+10,"",HEX2DEC(MID(D65,3,2)))</f>
        <v/>
      </c>
      <c r="G65" s="16" t="str">
        <f>IF(ROW()&gt;steps+10,"",HEX2DEC(RIGHT(D65,2)))</f>
        <v/>
      </c>
      <c r="H65" s="16" t="str">
        <f>IF(ROW()&gt;steps+10,"",nonMatch(D65,TRUE))</f>
        <v/>
      </c>
      <c r="I65" s="16" t="str">
        <f>IF(ROW()&gt;steps+10,"",nonMatch(D65,FALSE))</f>
        <v/>
      </c>
      <c r="J65" s="17" t="str">
        <f ca="1">IF(ROW()&gt;steps+10,"",IF($I65=$H65,E65,INDEX(INDIRECT(range),$H65,1)+ROUND(($B65-$H65)/($I65-$H65)*(INDEX(INDIRECT(range),$I65,1)-INDEX(INDIRECT(range),$H65,1)),0)))</f>
        <v/>
      </c>
      <c r="K65" s="17" t="str">
        <f ca="1">IF(ROW()&gt;steps+10,"",IF($I65=$H65,F65,INDEX(INDIRECT(range),$H65,2)+ROUND(($B65-$H65)/($I65-$H65)*(INDEX(INDIRECT(range),$I65,2)-INDEX(INDIRECT(range),$H65,2)),0)))</f>
        <v/>
      </c>
      <c r="L65" s="17" t="str">
        <f ca="1">IF(ROW()&gt;steps+10,"",IF($I65=$H65,G65,INDEX(INDIRECT(range),$H65,3)+ROUND(($B65-$H65)/($I65-$H65)*(INDEX(INDIRECT(range),$I65,3)-INDEX(INDIRECT(range),$H65,3)),0)))</f>
        <v/>
      </c>
      <c r="M65" s="21"/>
      <c r="N65" s="15" t="str">
        <f>IF(ROW()&gt;steps+10,"",getnewcolor(M65))</f>
        <v/>
      </c>
      <c r="O65" s="19" t="str">
        <f>IF(ROW()&gt;steps+10,"",gethexcolor(M65))</f>
        <v/>
      </c>
    </row>
    <row r="66" spans="2:15" x14ac:dyDescent="0.25">
      <c r="B66" s="14" t="str">
        <f>IFERROR(IF(B65+1&gt;steps,"",B65+1),"")</f>
        <v/>
      </c>
      <c r="C66" s="21"/>
      <c r="D66" s="15" t="str">
        <f>IF(ROW()&gt;steps+10,"",gethexcolor(C66))</f>
        <v/>
      </c>
      <c r="E66" s="16" t="str">
        <f>IF(ROW()&gt;steps+10,"",HEX2DEC(LEFT(D66,2)))</f>
        <v/>
      </c>
      <c r="F66" s="16" t="str">
        <f>IF(ROW()&gt;steps+10,"",HEX2DEC(MID(D66,3,2)))</f>
        <v/>
      </c>
      <c r="G66" s="16" t="str">
        <f>IF(ROW()&gt;steps+10,"",HEX2DEC(RIGHT(D66,2)))</f>
        <v/>
      </c>
      <c r="H66" s="16" t="str">
        <f>IF(ROW()&gt;steps+10,"",nonMatch(D66,TRUE))</f>
        <v/>
      </c>
      <c r="I66" s="16" t="str">
        <f>IF(ROW()&gt;steps+10,"",nonMatch(D66,FALSE))</f>
        <v/>
      </c>
      <c r="J66" s="17" t="str">
        <f ca="1">IF(ROW()&gt;steps+10,"",IF($I66=$H66,E66,INDEX(INDIRECT(range),$H66,1)+ROUND(($B66-$H66)/($I66-$H66)*(INDEX(INDIRECT(range),$I66,1)-INDEX(INDIRECT(range),$H66,1)),0)))</f>
        <v/>
      </c>
      <c r="K66" s="17" t="str">
        <f ca="1">IF(ROW()&gt;steps+10,"",IF($I66=$H66,F66,INDEX(INDIRECT(range),$H66,2)+ROUND(($B66-$H66)/($I66-$H66)*(INDEX(INDIRECT(range),$I66,2)-INDEX(INDIRECT(range),$H66,2)),0)))</f>
        <v/>
      </c>
      <c r="L66" s="17" t="str">
        <f ca="1">IF(ROW()&gt;steps+10,"",IF($I66=$H66,G66,INDEX(INDIRECT(range),$H66,3)+ROUND(($B66-$H66)/($I66-$H66)*(INDEX(INDIRECT(range),$I66,3)-INDEX(INDIRECT(range),$H66,3)),0)))</f>
        <v/>
      </c>
      <c r="M66" s="21"/>
      <c r="N66" s="15" t="str">
        <f>IF(ROW()&gt;steps+10,"",getnewcolor(M66))</f>
        <v/>
      </c>
      <c r="O66" s="19" t="str">
        <f>IF(ROW()&gt;steps+10,"",gethexcolor(M66))</f>
        <v/>
      </c>
    </row>
    <row r="67" spans="2:15" x14ac:dyDescent="0.25">
      <c r="B67" s="14" t="str">
        <f>IFERROR(IF(B66+1&gt;steps,"",B66+1),"")</f>
        <v/>
      </c>
      <c r="C67" s="21"/>
      <c r="D67" s="15" t="str">
        <f>IF(ROW()&gt;steps+10,"",gethexcolor(C67))</f>
        <v/>
      </c>
      <c r="E67" s="16" t="str">
        <f>IF(ROW()&gt;steps+10,"",HEX2DEC(LEFT(D67,2)))</f>
        <v/>
      </c>
      <c r="F67" s="16" t="str">
        <f>IF(ROW()&gt;steps+10,"",HEX2DEC(MID(D67,3,2)))</f>
        <v/>
      </c>
      <c r="G67" s="16" t="str">
        <f>IF(ROW()&gt;steps+10,"",HEX2DEC(RIGHT(D67,2)))</f>
        <v/>
      </c>
      <c r="H67" s="16" t="str">
        <f>IF(ROW()&gt;steps+10,"",nonMatch(D67,TRUE))</f>
        <v/>
      </c>
      <c r="I67" s="16" t="str">
        <f>IF(ROW()&gt;steps+10,"",nonMatch(D67,FALSE))</f>
        <v/>
      </c>
      <c r="J67" s="17" t="str">
        <f ca="1">IF(ROW()&gt;steps+10,"",IF($I67=$H67,E67,INDEX(INDIRECT(range),$H67,1)+ROUND(($B67-$H67)/($I67-$H67)*(INDEX(INDIRECT(range),$I67,1)-INDEX(INDIRECT(range),$H67,1)),0)))</f>
        <v/>
      </c>
      <c r="K67" s="17" t="str">
        <f ca="1">IF(ROW()&gt;steps+10,"",IF($I67=$H67,F67,INDEX(INDIRECT(range),$H67,2)+ROUND(($B67-$H67)/($I67-$H67)*(INDEX(INDIRECT(range),$I67,2)-INDEX(INDIRECT(range),$H67,2)),0)))</f>
        <v/>
      </c>
      <c r="L67" s="17" t="str">
        <f ca="1">IF(ROW()&gt;steps+10,"",IF($I67=$H67,G67,INDEX(INDIRECT(range),$H67,3)+ROUND(($B67-$H67)/($I67-$H67)*(INDEX(INDIRECT(range),$I67,3)-INDEX(INDIRECT(range),$H67,3)),0)))</f>
        <v/>
      </c>
      <c r="M67" s="21"/>
      <c r="N67" s="15" t="str">
        <f>IF(ROW()&gt;steps+10,"",getnewcolor(M67))</f>
        <v/>
      </c>
      <c r="O67" s="19" t="str">
        <f>IF(ROW()&gt;steps+10,"",gethexcolor(M67))</f>
        <v/>
      </c>
    </row>
    <row r="68" spans="2:15" x14ac:dyDescent="0.25">
      <c r="B68" s="14" t="str">
        <f>IFERROR(IF(B67+1&gt;steps,"",B67+1),"")</f>
        <v/>
      </c>
      <c r="C68" s="21"/>
      <c r="D68" s="15" t="str">
        <f>IF(ROW()&gt;steps+10,"",gethexcolor(C68))</f>
        <v/>
      </c>
      <c r="E68" s="16" t="str">
        <f>IF(ROW()&gt;steps+10,"",HEX2DEC(LEFT(D68,2)))</f>
        <v/>
      </c>
      <c r="F68" s="16" t="str">
        <f>IF(ROW()&gt;steps+10,"",HEX2DEC(MID(D68,3,2)))</f>
        <v/>
      </c>
      <c r="G68" s="16" t="str">
        <f>IF(ROW()&gt;steps+10,"",HEX2DEC(RIGHT(D68,2)))</f>
        <v/>
      </c>
      <c r="H68" s="16" t="str">
        <f>IF(ROW()&gt;steps+10,"",nonMatch(D68,TRUE))</f>
        <v/>
      </c>
      <c r="I68" s="16" t="str">
        <f>IF(ROW()&gt;steps+10,"",nonMatch(D68,FALSE))</f>
        <v/>
      </c>
      <c r="J68" s="17" t="str">
        <f ca="1">IF(ROW()&gt;steps+10,"",IF($I68=$H68,E68,INDEX(INDIRECT(range),$H68,1)+ROUND(($B68-$H68)/($I68-$H68)*(INDEX(INDIRECT(range),$I68,1)-INDEX(INDIRECT(range),$H68,1)),0)))</f>
        <v/>
      </c>
      <c r="K68" s="17" t="str">
        <f ca="1">IF(ROW()&gt;steps+10,"",IF($I68=$H68,F68,INDEX(INDIRECT(range),$H68,2)+ROUND(($B68-$H68)/($I68-$H68)*(INDEX(INDIRECT(range),$I68,2)-INDEX(INDIRECT(range),$H68,2)),0)))</f>
        <v/>
      </c>
      <c r="L68" s="17" t="str">
        <f ca="1">IF(ROW()&gt;steps+10,"",IF($I68=$H68,G68,INDEX(INDIRECT(range),$H68,3)+ROUND(($B68-$H68)/($I68-$H68)*(INDEX(INDIRECT(range),$I68,3)-INDEX(INDIRECT(range),$H68,3)),0)))</f>
        <v/>
      </c>
      <c r="M68" s="21"/>
      <c r="N68" s="15" t="str">
        <f>IF(ROW()&gt;steps+10,"",getnewcolor(M68))</f>
        <v/>
      </c>
      <c r="O68" s="19" t="str">
        <f>IF(ROW()&gt;steps+10,"",gethexcolor(M68))</f>
        <v/>
      </c>
    </row>
    <row r="69" spans="2:15" x14ac:dyDescent="0.25">
      <c r="B69" s="14" t="str">
        <f>IFERROR(IF(B68+1&gt;steps,"",B68+1),"")</f>
        <v/>
      </c>
      <c r="C69" s="21"/>
      <c r="D69" s="15" t="str">
        <f>IF(ROW()&gt;steps+10,"",gethexcolor(C69))</f>
        <v/>
      </c>
      <c r="E69" s="16" t="str">
        <f>IF(ROW()&gt;steps+10,"",HEX2DEC(LEFT(D69,2)))</f>
        <v/>
      </c>
      <c r="F69" s="16" t="str">
        <f>IF(ROW()&gt;steps+10,"",HEX2DEC(MID(D69,3,2)))</f>
        <v/>
      </c>
      <c r="G69" s="16" t="str">
        <f>IF(ROW()&gt;steps+10,"",HEX2DEC(RIGHT(D69,2)))</f>
        <v/>
      </c>
      <c r="H69" s="16" t="str">
        <f>IF(ROW()&gt;steps+10,"",nonMatch(D69,TRUE))</f>
        <v/>
      </c>
      <c r="I69" s="16" t="str">
        <f>IF(ROW()&gt;steps+10,"",nonMatch(D69,FALSE))</f>
        <v/>
      </c>
      <c r="J69" s="17" t="str">
        <f ca="1">IF(ROW()&gt;steps+10,"",IF($I69=$H69,E69,INDEX(INDIRECT(range),$H69,1)+ROUND(($B69-$H69)/($I69-$H69)*(INDEX(INDIRECT(range),$I69,1)-INDEX(INDIRECT(range),$H69,1)),0)))</f>
        <v/>
      </c>
      <c r="K69" s="17" t="str">
        <f ca="1">IF(ROW()&gt;steps+10,"",IF($I69=$H69,F69,INDEX(INDIRECT(range),$H69,2)+ROUND(($B69-$H69)/($I69-$H69)*(INDEX(INDIRECT(range),$I69,2)-INDEX(INDIRECT(range),$H69,2)),0)))</f>
        <v/>
      </c>
      <c r="L69" s="17" t="str">
        <f ca="1">IF(ROW()&gt;steps+10,"",IF($I69=$H69,G69,INDEX(INDIRECT(range),$H69,3)+ROUND(($B69-$H69)/($I69-$H69)*(INDEX(INDIRECT(range),$I69,3)-INDEX(INDIRECT(range),$H69,3)),0)))</f>
        <v/>
      </c>
      <c r="M69" s="21"/>
      <c r="N69" s="15" t="str">
        <f>IF(ROW()&gt;steps+10,"",getnewcolor(M69))</f>
        <v/>
      </c>
      <c r="O69" s="19" t="str">
        <f>IF(ROW()&gt;steps+10,"",gethexcolor(M69))</f>
        <v/>
      </c>
    </row>
    <row r="70" spans="2:15" x14ac:dyDescent="0.25">
      <c r="B70" s="14" t="str">
        <f>IFERROR(IF(B69+1&gt;steps,"",B69+1),"")</f>
        <v/>
      </c>
      <c r="C70" s="21"/>
      <c r="D70" s="15" t="str">
        <f>IF(ROW()&gt;steps+10,"",gethexcolor(C70))</f>
        <v/>
      </c>
      <c r="E70" s="16" t="str">
        <f>IF(ROW()&gt;steps+10,"",HEX2DEC(LEFT(D70,2)))</f>
        <v/>
      </c>
      <c r="F70" s="16" t="str">
        <f>IF(ROW()&gt;steps+10,"",HEX2DEC(MID(D70,3,2)))</f>
        <v/>
      </c>
      <c r="G70" s="16" t="str">
        <f>IF(ROW()&gt;steps+10,"",HEX2DEC(RIGHT(D70,2)))</f>
        <v/>
      </c>
      <c r="H70" s="16" t="str">
        <f>IF(ROW()&gt;steps+10,"",nonMatch(D70,TRUE))</f>
        <v/>
      </c>
      <c r="I70" s="16" t="str">
        <f>IF(ROW()&gt;steps+10,"",nonMatch(D70,FALSE))</f>
        <v/>
      </c>
      <c r="J70" s="17" t="str">
        <f ca="1">IF(ROW()&gt;steps+10,"",IF($I70=$H70,E70,INDEX(INDIRECT(range),$H70,1)+ROUND(($B70-$H70)/($I70-$H70)*(INDEX(INDIRECT(range),$I70,1)-INDEX(INDIRECT(range),$H70,1)),0)))</f>
        <v/>
      </c>
      <c r="K70" s="17" t="str">
        <f ca="1">IF(ROW()&gt;steps+10,"",IF($I70=$H70,F70,INDEX(INDIRECT(range),$H70,2)+ROUND(($B70-$H70)/($I70-$H70)*(INDEX(INDIRECT(range),$I70,2)-INDEX(INDIRECT(range),$H70,2)),0)))</f>
        <v/>
      </c>
      <c r="L70" s="17" t="str">
        <f ca="1">IF(ROW()&gt;steps+10,"",IF($I70=$H70,G70,INDEX(INDIRECT(range),$H70,3)+ROUND(($B70-$H70)/($I70-$H70)*(INDEX(INDIRECT(range),$I70,3)-INDEX(INDIRECT(range),$H70,3)),0)))</f>
        <v/>
      </c>
      <c r="M70" s="21"/>
      <c r="N70" s="15" t="str">
        <f>IF(ROW()&gt;steps+10,"",getnewcolor(M70))</f>
        <v/>
      </c>
      <c r="O70" s="19" t="str">
        <f>IF(ROW()&gt;steps+10,"",gethexcolor(M70))</f>
        <v/>
      </c>
    </row>
    <row r="71" spans="2:15" x14ac:dyDescent="0.25">
      <c r="B71" s="14" t="str">
        <f>IFERROR(IF(B70+1&gt;steps,"",B70+1),"")</f>
        <v/>
      </c>
      <c r="C71" s="21"/>
      <c r="D71" s="15" t="str">
        <f>IF(ROW()&gt;steps+10,"",gethexcolor(C71))</f>
        <v/>
      </c>
      <c r="E71" s="16" t="str">
        <f>IF(ROW()&gt;steps+10,"",HEX2DEC(LEFT(D71,2)))</f>
        <v/>
      </c>
      <c r="F71" s="16" t="str">
        <f>IF(ROW()&gt;steps+10,"",HEX2DEC(MID(D71,3,2)))</f>
        <v/>
      </c>
      <c r="G71" s="16" t="str">
        <f>IF(ROW()&gt;steps+10,"",HEX2DEC(RIGHT(D71,2)))</f>
        <v/>
      </c>
      <c r="H71" s="16" t="str">
        <f>IF(ROW()&gt;steps+10,"",nonMatch(D71,TRUE))</f>
        <v/>
      </c>
      <c r="I71" s="16" t="str">
        <f>IF(ROW()&gt;steps+10,"",nonMatch(D71,FALSE))</f>
        <v/>
      </c>
      <c r="J71" s="17" t="str">
        <f ca="1">IF(ROW()&gt;steps+10,"",IF($I71=$H71,E71,INDEX(INDIRECT(range),$H71,1)+ROUND(($B71-$H71)/($I71-$H71)*(INDEX(INDIRECT(range),$I71,1)-INDEX(INDIRECT(range),$H71,1)),0)))</f>
        <v/>
      </c>
      <c r="K71" s="17" t="str">
        <f ca="1">IF(ROW()&gt;steps+10,"",IF($I71=$H71,F71,INDEX(INDIRECT(range),$H71,2)+ROUND(($B71-$H71)/($I71-$H71)*(INDEX(INDIRECT(range),$I71,2)-INDEX(INDIRECT(range),$H71,2)),0)))</f>
        <v/>
      </c>
      <c r="L71" s="17" t="str">
        <f ca="1">IF(ROW()&gt;steps+10,"",IF($I71=$H71,G71,INDEX(INDIRECT(range),$H71,3)+ROUND(($B71-$H71)/($I71-$H71)*(INDEX(INDIRECT(range),$I71,3)-INDEX(INDIRECT(range),$H71,3)),0)))</f>
        <v/>
      </c>
      <c r="M71" s="21"/>
      <c r="N71" s="15" t="str">
        <f>IF(ROW()&gt;steps+10,"",getnewcolor(M71))</f>
        <v/>
      </c>
      <c r="O71" s="19" t="str">
        <f>IF(ROW()&gt;steps+10,"",gethexcolor(M71))</f>
        <v/>
      </c>
    </row>
    <row r="72" spans="2:15" x14ac:dyDescent="0.25">
      <c r="B72" s="14" t="str">
        <f>IFERROR(IF(B71+1&gt;steps,"",B71+1),"")</f>
        <v/>
      </c>
      <c r="C72" s="21"/>
      <c r="D72" s="15" t="str">
        <f>IF(ROW()&gt;steps+10,"",gethexcolor(C72))</f>
        <v/>
      </c>
      <c r="E72" s="16" t="str">
        <f>IF(ROW()&gt;steps+10,"",HEX2DEC(LEFT(D72,2)))</f>
        <v/>
      </c>
      <c r="F72" s="16" t="str">
        <f>IF(ROW()&gt;steps+10,"",HEX2DEC(MID(D72,3,2)))</f>
        <v/>
      </c>
      <c r="G72" s="16" t="str">
        <f>IF(ROW()&gt;steps+10,"",HEX2DEC(RIGHT(D72,2)))</f>
        <v/>
      </c>
      <c r="H72" s="16" t="str">
        <f>IF(ROW()&gt;steps+10,"",nonMatch(D72,TRUE))</f>
        <v/>
      </c>
      <c r="I72" s="16" t="str">
        <f>IF(ROW()&gt;steps+10,"",nonMatch(D72,FALSE))</f>
        <v/>
      </c>
      <c r="J72" s="17" t="str">
        <f ca="1">IF(ROW()&gt;steps+10,"",IF($I72=$H72,E72,INDEX(INDIRECT(range),$H72,1)+ROUND(($B72-$H72)/($I72-$H72)*(INDEX(INDIRECT(range),$I72,1)-INDEX(INDIRECT(range),$H72,1)),0)))</f>
        <v/>
      </c>
      <c r="K72" s="17" t="str">
        <f ca="1">IF(ROW()&gt;steps+10,"",IF($I72=$H72,F72,INDEX(INDIRECT(range),$H72,2)+ROUND(($B72-$H72)/($I72-$H72)*(INDEX(INDIRECT(range),$I72,2)-INDEX(INDIRECT(range),$H72,2)),0)))</f>
        <v/>
      </c>
      <c r="L72" s="17" t="str">
        <f ca="1">IF(ROW()&gt;steps+10,"",IF($I72=$H72,G72,INDEX(INDIRECT(range),$H72,3)+ROUND(($B72-$H72)/($I72-$H72)*(INDEX(INDIRECT(range),$I72,3)-INDEX(INDIRECT(range),$H72,3)),0)))</f>
        <v/>
      </c>
      <c r="M72" s="21"/>
      <c r="N72" s="15" t="str">
        <f>IF(ROW()&gt;steps+10,"",getnewcolor(M72))</f>
        <v/>
      </c>
      <c r="O72" s="19" t="str">
        <f>IF(ROW()&gt;steps+10,"",gethexcolor(M72))</f>
        <v/>
      </c>
    </row>
    <row r="73" spans="2:15" x14ac:dyDescent="0.25">
      <c r="B73" s="14" t="str">
        <f>IFERROR(IF(B72+1&gt;steps,"",B72+1),"")</f>
        <v/>
      </c>
      <c r="C73" s="21"/>
      <c r="D73" s="15" t="str">
        <f>IF(ROW()&gt;steps+10,"",gethexcolor(C73))</f>
        <v/>
      </c>
      <c r="E73" s="16" t="str">
        <f>IF(ROW()&gt;steps+10,"",HEX2DEC(LEFT(D73,2)))</f>
        <v/>
      </c>
      <c r="F73" s="16" t="str">
        <f>IF(ROW()&gt;steps+10,"",HEX2DEC(MID(D73,3,2)))</f>
        <v/>
      </c>
      <c r="G73" s="16" t="str">
        <f>IF(ROW()&gt;steps+10,"",HEX2DEC(RIGHT(D73,2)))</f>
        <v/>
      </c>
      <c r="H73" s="16" t="str">
        <f>IF(ROW()&gt;steps+10,"",nonMatch(D73,TRUE))</f>
        <v/>
      </c>
      <c r="I73" s="16" t="str">
        <f>IF(ROW()&gt;steps+10,"",nonMatch(D73,FALSE))</f>
        <v/>
      </c>
      <c r="J73" s="17" t="str">
        <f ca="1">IF(ROW()&gt;steps+10,"",IF($I73=$H73,E73,INDEX(INDIRECT(range),$H73,1)+ROUND(($B73-$H73)/($I73-$H73)*(INDEX(INDIRECT(range),$I73,1)-INDEX(INDIRECT(range),$H73,1)),0)))</f>
        <v/>
      </c>
      <c r="K73" s="17" t="str">
        <f ca="1">IF(ROW()&gt;steps+10,"",IF($I73=$H73,F73,INDEX(INDIRECT(range),$H73,2)+ROUND(($B73-$H73)/($I73-$H73)*(INDEX(INDIRECT(range),$I73,2)-INDEX(INDIRECT(range),$H73,2)),0)))</f>
        <v/>
      </c>
      <c r="L73" s="17" t="str">
        <f ca="1">IF(ROW()&gt;steps+10,"",IF($I73=$H73,G73,INDEX(INDIRECT(range),$H73,3)+ROUND(($B73-$H73)/($I73-$H73)*(INDEX(INDIRECT(range),$I73,3)-INDEX(INDIRECT(range),$H73,3)),0)))</f>
        <v/>
      </c>
      <c r="M73" s="21"/>
      <c r="N73" s="15" t="str">
        <f>IF(ROW()&gt;steps+10,"",getnewcolor(M73))</f>
        <v/>
      </c>
      <c r="O73" s="19" t="str">
        <f>IF(ROW()&gt;steps+10,"",gethexcolor(M73))</f>
        <v/>
      </c>
    </row>
    <row r="74" spans="2:15" x14ac:dyDescent="0.25">
      <c r="B74" s="14" t="str">
        <f>IFERROR(IF(B73+1&gt;steps,"",B73+1),"")</f>
        <v/>
      </c>
      <c r="C74" s="21"/>
      <c r="D74" s="15" t="str">
        <f>IF(ROW()&gt;steps+10,"",gethexcolor(C74))</f>
        <v/>
      </c>
      <c r="E74" s="16" t="str">
        <f>IF(ROW()&gt;steps+10,"",HEX2DEC(LEFT(D74,2)))</f>
        <v/>
      </c>
      <c r="F74" s="16" t="str">
        <f>IF(ROW()&gt;steps+10,"",HEX2DEC(MID(D74,3,2)))</f>
        <v/>
      </c>
      <c r="G74" s="16" t="str">
        <f>IF(ROW()&gt;steps+10,"",HEX2DEC(RIGHT(D74,2)))</f>
        <v/>
      </c>
      <c r="H74" s="16" t="str">
        <f>IF(ROW()&gt;steps+10,"",nonMatch(D74,TRUE))</f>
        <v/>
      </c>
      <c r="I74" s="16" t="str">
        <f>IF(ROW()&gt;steps+10,"",nonMatch(D74,FALSE))</f>
        <v/>
      </c>
      <c r="J74" s="17" t="str">
        <f ca="1">IF(ROW()&gt;steps+10,"",IF($I74=$H74,E74,INDEX(INDIRECT(range),$H74,1)+ROUND(($B74-$H74)/($I74-$H74)*(INDEX(INDIRECT(range),$I74,1)-INDEX(INDIRECT(range),$H74,1)),0)))</f>
        <v/>
      </c>
      <c r="K74" s="17" t="str">
        <f ca="1">IF(ROW()&gt;steps+10,"",IF($I74=$H74,F74,INDEX(INDIRECT(range),$H74,2)+ROUND(($B74-$H74)/($I74-$H74)*(INDEX(INDIRECT(range),$I74,2)-INDEX(INDIRECT(range),$H74,2)),0)))</f>
        <v/>
      </c>
      <c r="L74" s="17" t="str">
        <f ca="1">IF(ROW()&gt;steps+10,"",IF($I74=$H74,G74,INDEX(INDIRECT(range),$H74,3)+ROUND(($B74-$H74)/($I74-$H74)*(INDEX(INDIRECT(range),$I74,3)-INDEX(INDIRECT(range),$H74,3)),0)))</f>
        <v/>
      </c>
      <c r="M74" s="21"/>
      <c r="N74" s="15" t="str">
        <f>IF(ROW()&gt;steps+10,"",getnewcolor(M74))</f>
        <v/>
      </c>
      <c r="O74" s="19" t="str">
        <f>IF(ROW()&gt;steps+10,"",gethexcolor(M74))</f>
        <v/>
      </c>
    </row>
    <row r="75" spans="2:15" x14ac:dyDescent="0.25">
      <c r="B75" s="14" t="str">
        <f>IFERROR(IF(B74+1&gt;steps,"",B74+1),"")</f>
        <v/>
      </c>
      <c r="C75" s="21"/>
      <c r="D75" s="15" t="str">
        <f>IF(ROW()&gt;steps+10,"",gethexcolor(C75))</f>
        <v/>
      </c>
      <c r="E75" s="16" t="str">
        <f>IF(ROW()&gt;steps+10,"",HEX2DEC(LEFT(D75,2)))</f>
        <v/>
      </c>
      <c r="F75" s="16" t="str">
        <f>IF(ROW()&gt;steps+10,"",HEX2DEC(MID(D75,3,2)))</f>
        <v/>
      </c>
      <c r="G75" s="16" t="str">
        <f>IF(ROW()&gt;steps+10,"",HEX2DEC(RIGHT(D75,2)))</f>
        <v/>
      </c>
      <c r="H75" s="16" t="str">
        <f>IF(ROW()&gt;steps+10,"",nonMatch(D75,TRUE))</f>
        <v/>
      </c>
      <c r="I75" s="16" t="str">
        <f>IF(ROW()&gt;steps+10,"",nonMatch(D75,FALSE))</f>
        <v/>
      </c>
      <c r="J75" s="17" t="str">
        <f ca="1">IF(ROW()&gt;steps+10,"",IF($I75=$H75,E75,INDEX(INDIRECT(range),$H75,1)+ROUND(($B75-$H75)/($I75-$H75)*(INDEX(INDIRECT(range),$I75,1)-INDEX(INDIRECT(range),$H75,1)),0)))</f>
        <v/>
      </c>
      <c r="K75" s="17" t="str">
        <f ca="1">IF(ROW()&gt;steps+10,"",IF($I75=$H75,F75,INDEX(INDIRECT(range),$H75,2)+ROUND(($B75-$H75)/($I75-$H75)*(INDEX(INDIRECT(range),$I75,2)-INDEX(INDIRECT(range),$H75,2)),0)))</f>
        <v/>
      </c>
      <c r="L75" s="17" t="str">
        <f ca="1">IF(ROW()&gt;steps+10,"",IF($I75=$H75,G75,INDEX(INDIRECT(range),$H75,3)+ROUND(($B75-$H75)/($I75-$H75)*(INDEX(INDIRECT(range),$I75,3)-INDEX(INDIRECT(range),$H75,3)),0)))</f>
        <v/>
      </c>
      <c r="M75" s="21"/>
      <c r="N75" s="15" t="str">
        <f>IF(ROW()&gt;steps+10,"",getnewcolor(M75))</f>
        <v/>
      </c>
      <c r="O75" s="19" t="str">
        <f>IF(ROW()&gt;steps+10,"",gethexcolor(M75))</f>
        <v/>
      </c>
    </row>
    <row r="76" spans="2:15" x14ac:dyDescent="0.25">
      <c r="B76" s="14" t="str">
        <f>IFERROR(IF(B75+1&gt;steps,"",B75+1),"")</f>
        <v/>
      </c>
      <c r="C76" s="21"/>
      <c r="D76" s="15" t="str">
        <f>IF(ROW()&gt;steps+10,"",gethexcolor(C76))</f>
        <v/>
      </c>
      <c r="E76" s="16" t="str">
        <f>IF(ROW()&gt;steps+10,"",HEX2DEC(LEFT(D76,2)))</f>
        <v/>
      </c>
      <c r="F76" s="16" t="str">
        <f>IF(ROW()&gt;steps+10,"",HEX2DEC(MID(D76,3,2)))</f>
        <v/>
      </c>
      <c r="G76" s="16" t="str">
        <f>IF(ROW()&gt;steps+10,"",HEX2DEC(RIGHT(D76,2)))</f>
        <v/>
      </c>
      <c r="H76" s="16" t="str">
        <f>IF(ROW()&gt;steps+10,"",nonMatch(D76,TRUE))</f>
        <v/>
      </c>
      <c r="I76" s="16" t="str">
        <f>IF(ROW()&gt;steps+10,"",nonMatch(D76,FALSE))</f>
        <v/>
      </c>
      <c r="J76" s="17" t="str">
        <f ca="1">IF(ROW()&gt;steps+10,"",IF($I76=$H76,E76,INDEX(INDIRECT(range),$H76,1)+ROUND(($B76-$H76)/($I76-$H76)*(INDEX(INDIRECT(range),$I76,1)-INDEX(INDIRECT(range),$H76,1)),0)))</f>
        <v/>
      </c>
      <c r="K76" s="17" t="str">
        <f ca="1">IF(ROW()&gt;steps+10,"",IF($I76=$H76,F76,INDEX(INDIRECT(range),$H76,2)+ROUND(($B76-$H76)/($I76-$H76)*(INDEX(INDIRECT(range),$I76,2)-INDEX(INDIRECT(range),$H76,2)),0)))</f>
        <v/>
      </c>
      <c r="L76" s="17" t="str">
        <f ca="1">IF(ROW()&gt;steps+10,"",IF($I76=$H76,G76,INDEX(INDIRECT(range),$H76,3)+ROUND(($B76-$H76)/($I76-$H76)*(INDEX(INDIRECT(range),$I76,3)-INDEX(INDIRECT(range),$H76,3)),0)))</f>
        <v/>
      </c>
      <c r="M76" s="21"/>
      <c r="N76" s="15" t="str">
        <f>IF(ROW()&gt;steps+10,"",getnewcolor(M76))</f>
        <v/>
      </c>
      <c r="O76" s="19" t="str">
        <f>IF(ROW()&gt;steps+10,"",gethexcolor(M76))</f>
        <v/>
      </c>
    </row>
    <row r="77" spans="2:15" x14ac:dyDescent="0.25">
      <c r="B77" s="14" t="str">
        <f>IFERROR(IF(B76+1&gt;steps,"",B76+1),"")</f>
        <v/>
      </c>
      <c r="C77" s="21"/>
      <c r="D77" s="15" t="str">
        <f>IF(ROW()&gt;steps+10,"",gethexcolor(C77))</f>
        <v/>
      </c>
      <c r="E77" s="16" t="str">
        <f>IF(ROW()&gt;steps+10,"",HEX2DEC(LEFT(D77,2)))</f>
        <v/>
      </c>
      <c r="F77" s="16" t="str">
        <f>IF(ROW()&gt;steps+10,"",HEX2DEC(MID(D77,3,2)))</f>
        <v/>
      </c>
      <c r="G77" s="16" t="str">
        <f>IF(ROW()&gt;steps+10,"",HEX2DEC(RIGHT(D77,2)))</f>
        <v/>
      </c>
      <c r="H77" s="16" t="str">
        <f>IF(ROW()&gt;steps+10,"",nonMatch(D77,TRUE))</f>
        <v/>
      </c>
      <c r="I77" s="16" t="str">
        <f>IF(ROW()&gt;steps+10,"",nonMatch(D77,FALSE))</f>
        <v/>
      </c>
      <c r="J77" s="17" t="str">
        <f ca="1">IF(ROW()&gt;steps+10,"",IF($I77=$H77,E77,INDEX(INDIRECT(range),$H77,1)+ROUND(($B77-$H77)/($I77-$H77)*(INDEX(INDIRECT(range),$I77,1)-INDEX(INDIRECT(range),$H77,1)),0)))</f>
        <v/>
      </c>
      <c r="K77" s="17" t="str">
        <f ca="1">IF(ROW()&gt;steps+10,"",IF($I77=$H77,F77,INDEX(INDIRECT(range),$H77,2)+ROUND(($B77-$H77)/($I77-$H77)*(INDEX(INDIRECT(range),$I77,2)-INDEX(INDIRECT(range),$H77,2)),0)))</f>
        <v/>
      </c>
      <c r="L77" s="17" t="str">
        <f ca="1">IF(ROW()&gt;steps+10,"",IF($I77=$H77,G77,INDEX(INDIRECT(range),$H77,3)+ROUND(($B77-$H77)/($I77-$H77)*(INDEX(INDIRECT(range),$I77,3)-INDEX(INDIRECT(range),$H77,3)),0)))</f>
        <v/>
      </c>
      <c r="M77" s="21"/>
      <c r="N77" s="15" t="str">
        <f>IF(ROW()&gt;steps+10,"",getnewcolor(M77))</f>
        <v/>
      </c>
      <c r="O77" s="19" t="str">
        <f>IF(ROW()&gt;steps+10,"",gethexcolor(M77))</f>
        <v/>
      </c>
    </row>
    <row r="78" spans="2:15" x14ac:dyDescent="0.25">
      <c r="B78" s="14" t="str">
        <f>IFERROR(IF(B77+1&gt;steps,"",B77+1),"")</f>
        <v/>
      </c>
      <c r="C78" s="21"/>
      <c r="D78" s="15" t="str">
        <f>IF(ROW()&gt;steps+10,"",gethexcolor(C78))</f>
        <v/>
      </c>
      <c r="E78" s="16" t="str">
        <f>IF(ROW()&gt;steps+10,"",HEX2DEC(LEFT(D78,2)))</f>
        <v/>
      </c>
      <c r="F78" s="16" t="str">
        <f>IF(ROW()&gt;steps+10,"",HEX2DEC(MID(D78,3,2)))</f>
        <v/>
      </c>
      <c r="G78" s="16" t="str">
        <f>IF(ROW()&gt;steps+10,"",HEX2DEC(RIGHT(D78,2)))</f>
        <v/>
      </c>
      <c r="H78" s="16" t="str">
        <f>IF(ROW()&gt;steps+10,"",nonMatch(D78,TRUE))</f>
        <v/>
      </c>
      <c r="I78" s="16" t="str">
        <f>IF(ROW()&gt;steps+10,"",nonMatch(D78,FALSE))</f>
        <v/>
      </c>
      <c r="J78" s="17" t="str">
        <f ca="1">IF(ROW()&gt;steps+10,"",IF($I78=$H78,E78,INDEX(INDIRECT(range),$H78,1)+ROUND(($B78-$H78)/($I78-$H78)*(INDEX(INDIRECT(range),$I78,1)-INDEX(INDIRECT(range),$H78,1)),0)))</f>
        <v/>
      </c>
      <c r="K78" s="17" t="str">
        <f ca="1">IF(ROW()&gt;steps+10,"",IF($I78=$H78,F78,INDEX(INDIRECT(range),$H78,2)+ROUND(($B78-$H78)/($I78-$H78)*(INDEX(INDIRECT(range),$I78,2)-INDEX(INDIRECT(range),$H78,2)),0)))</f>
        <v/>
      </c>
      <c r="L78" s="17" t="str">
        <f ca="1">IF(ROW()&gt;steps+10,"",IF($I78=$H78,G78,INDEX(INDIRECT(range),$H78,3)+ROUND(($B78-$H78)/($I78-$H78)*(INDEX(INDIRECT(range),$I78,3)-INDEX(INDIRECT(range),$H78,3)),0)))</f>
        <v/>
      </c>
      <c r="M78" s="21"/>
      <c r="N78" s="15" t="str">
        <f>IF(ROW()&gt;steps+10,"",getnewcolor(M78))</f>
        <v/>
      </c>
      <c r="O78" s="19" t="str">
        <f>IF(ROW()&gt;steps+10,"",gethexcolor(M78))</f>
        <v/>
      </c>
    </row>
    <row r="79" spans="2:15" x14ac:dyDescent="0.25">
      <c r="B79" s="14" t="str">
        <f>IFERROR(IF(B78+1&gt;steps,"",B78+1),"")</f>
        <v/>
      </c>
      <c r="C79" s="21"/>
      <c r="D79" s="15" t="str">
        <f>IF(ROW()&gt;steps+10,"",gethexcolor(C79))</f>
        <v/>
      </c>
      <c r="E79" s="16" t="str">
        <f>IF(ROW()&gt;steps+10,"",HEX2DEC(LEFT(D79,2)))</f>
        <v/>
      </c>
      <c r="F79" s="16" t="str">
        <f>IF(ROW()&gt;steps+10,"",HEX2DEC(MID(D79,3,2)))</f>
        <v/>
      </c>
      <c r="G79" s="16" t="str">
        <f>IF(ROW()&gt;steps+10,"",HEX2DEC(RIGHT(D79,2)))</f>
        <v/>
      </c>
      <c r="H79" s="16" t="str">
        <f>IF(ROW()&gt;steps+10,"",nonMatch(D79,TRUE))</f>
        <v/>
      </c>
      <c r="I79" s="16" t="str">
        <f>IF(ROW()&gt;steps+10,"",nonMatch(D79,FALSE))</f>
        <v/>
      </c>
      <c r="J79" s="17" t="str">
        <f ca="1">IF(ROW()&gt;steps+10,"",IF($I79=$H79,E79,INDEX(INDIRECT(range),$H79,1)+ROUND(($B79-$H79)/($I79-$H79)*(INDEX(INDIRECT(range),$I79,1)-INDEX(INDIRECT(range),$H79,1)),0)))</f>
        <v/>
      </c>
      <c r="K79" s="17" t="str">
        <f ca="1">IF(ROW()&gt;steps+10,"",IF($I79=$H79,F79,INDEX(INDIRECT(range),$H79,2)+ROUND(($B79-$H79)/($I79-$H79)*(INDEX(INDIRECT(range),$I79,2)-INDEX(INDIRECT(range),$H79,2)),0)))</f>
        <v/>
      </c>
      <c r="L79" s="17" t="str">
        <f ca="1">IF(ROW()&gt;steps+10,"",IF($I79=$H79,G79,INDEX(INDIRECT(range),$H79,3)+ROUND(($B79-$H79)/($I79-$H79)*(INDEX(INDIRECT(range),$I79,3)-INDEX(INDIRECT(range),$H79,3)),0)))</f>
        <v/>
      </c>
      <c r="M79" s="21"/>
      <c r="N79" s="15" t="str">
        <f>IF(ROW()&gt;steps+10,"",getnewcolor(M79))</f>
        <v/>
      </c>
      <c r="O79" s="19" t="str">
        <f>IF(ROW()&gt;steps+10,"",gethexcolor(M79))</f>
        <v/>
      </c>
    </row>
    <row r="80" spans="2:15" x14ac:dyDescent="0.25">
      <c r="B80" s="14" t="str">
        <f>IFERROR(IF(B79+1&gt;steps,"",B79+1),"")</f>
        <v/>
      </c>
      <c r="C80" s="21"/>
      <c r="D80" s="15" t="str">
        <f>IF(ROW()&gt;steps+10,"",gethexcolor(C80))</f>
        <v/>
      </c>
      <c r="E80" s="16" t="str">
        <f>IF(ROW()&gt;steps+10,"",HEX2DEC(LEFT(D80,2)))</f>
        <v/>
      </c>
      <c r="F80" s="16" t="str">
        <f>IF(ROW()&gt;steps+10,"",HEX2DEC(MID(D80,3,2)))</f>
        <v/>
      </c>
      <c r="G80" s="16" t="str">
        <f>IF(ROW()&gt;steps+10,"",HEX2DEC(RIGHT(D80,2)))</f>
        <v/>
      </c>
      <c r="H80" s="16" t="str">
        <f>IF(ROW()&gt;steps+10,"",nonMatch(D80,TRUE))</f>
        <v/>
      </c>
      <c r="I80" s="16" t="str">
        <f>IF(ROW()&gt;steps+10,"",nonMatch(D80,FALSE))</f>
        <v/>
      </c>
      <c r="J80" s="17" t="str">
        <f ca="1">IF(ROW()&gt;steps+10,"",IF($I80=$H80,E80,INDEX(INDIRECT(range),$H80,1)+ROUND(($B80-$H80)/($I80-$H80)*(INDEX(INDIRECT(range),$I80,1)-INDEX(INDIRECT(range),$H80,1)),0)))</f>
        <v/>
      </c>
      <c r="K80" s="17" t="str">
        <f ca="1">IF(ROW()&gt;steps+10,"",IF($I80=$H80,F80,INDEX(INDIRECT(range),$H80,2)+ROUND(($B80-$H80)/($I80-$H80)*(INDEX(INDIRECT(range),$I80,2)-INDEX(INDIRECT(range),$H80,2)),0)))</f>
        <v/>
      </c>
      <c r="L80" s="17" t="str">
        <f ca="1">IF(ROW()&gt;steps+10,"",IF($I80=$H80,G80,INDEX(INDIRECT(range),$H80,3)+ROUND(($B80-$H80)/($I80-$H80)*(INDEX(INDIRECT(range),$I80,3)-INDEX(INDIRECT(range),$H80,3)),0)))</f>
        <v/>
      </c>
      <c r="M80" s="21"/>
      <c r="N80" s="15" t="str">
        <f>IF(ROW()&gt;steps+10,"",getnewcolor(M80))</f>
        <v/>
      </c>
      <c r="O80" s="19" t="str">
        <f>IF(ROW()&gt;steps+10,"",gethexcolor(M80))</f>
        <v/>
      </c>
    </row>
    <row r="81" spans="2:15" x14ac:dyDescent="0.25">
      <c r="B81" s="14" t="str">
        <f>IFERROR(IF(B80+1&gt;steps,"",B80+1),"")</f>
        <v/>
      </c>
      <c r="C81" s="21"/>
      <c r="D81" s="15" t="str">
        <f>IF(ROW()&gt;steps+10,"",gethexcolor(C81))</f>
        <v/>
      </c>
      <c r="E81" s="16" t="str">
        <f>IF(ROW()&gt;steps+10,"",HEX2DEC(LEFT(D81,2)))</f>
        <v/>
      </c>
      <c r="F81" s="16" t="str">
        <f>IF(ROW()&gt;steps+10,"",HEX2DEC(MID(D81,3,2)))</f>
        <v/>
      </c>
      <c r="G81" s="16" t="str">
        <f>IF(ROW()&gt;steps+10,"",HEX2DEC(RIGHT(D81,2)))</f>
        <v/>
      </c>
      <c r="H81" s="16" t="str">
        <f>IF(ROW()&gt;steps+10,"",nonMatch(D81,TRUE))</f>
        <v/>
      </c>
      <c r="I81" s="16" t="str">
        <f>IF(ROW()&gt;steps+10,"",nonMatch(D81,FALSE))</f>
        <v/>
      </c>
      <c r="J81" s="17" t="str">
        <f ca="1">IF(ROW()&gt;steps+10,"",IF($I81=$H81,E81,INDEX(INDIRECT(range),$H81,1)+ROUND(($B81-$H81)/($I81-$H81)*(INDEX(INDIRECT(range),$I81,1)-INDEX(INDIRECT(range),$H81,1)),0)))</f>
        <v/>
      </c>
      <c r="K81" s="17" t="str">
        <f ca="1">IF(ROW()&gt;steps+10,"",IF($I81=$H81,F81,INDEX(INDIRECT(range),$H81,2)+ROUND(($B81-$H81)/($I81-$H81)*(INDEX(INDIRECT(range),$I81,2)-INDEX(INDIRECT(range),$H81,2)),0)))</f>
        <v/>
      </c>
      <c r="L81" s="17" t="str">
        <f ca="1">IF(ROW()&gt;steps+10,"",IF($I81=$H81,G81,INDEX(INDIRECT(range),$H81,3)+ROUND(($B81-$H81)/($I81-$H81)*(INDEX(INDIRECT(range),$I81,3)-INDEX(INDIRECT(range),$H81,3)),0)))</f>
        <v/>
      </c>
      <c r="M81" s="21"/>
      <c r="N81" s="15" t="str">
        <f>IF(ROW()&gt;steps+10,"",getnewcolor(M81))</f>
        <v/>
      </c>
      <c r="O81" s="19" t="str">
        <f>IF(ROW()&gt;steps+10,"",gethexcolor(M81))</f>
        <v/>
      </c>
    </row>
    <row r="82" spans="2:15" x14ac:dyDescent="0.25">
      <c r="B82" s="14" t="str">
        <f>IFERROR(IF(B81+1&gt;steps,"",B81+1),"")</f>
        <v/>
      </c>
      <c r="C82" s="15"/>
      <c r="D82" s="15" t="str">
        <f>IF(ROW()&gt;steps+10,"",gethexcolor(C82))</f>
        <v/>
      </c>
      <c r="E82" s="16" t="str">
        <f>IF(ROW()&gt;steps+10,"",HEX2DEC(LEFT(D82,2)))</f>
        <v/>
      </c>
      <c r="F82" s="16" t="str">
        <f>IF(ROW()&gt;steps+10,"",HEX2DEC(MID(D82,3,2)))</f>
        <v/>
      </c>
      <c r="G82" s="16" t="str">
        <f>IF(ROW()&gt;steps+10,"",HEX2DEC(RIGHT(D82,2)))</f>
        <v/>
      </c>
      <c r="H82" s="16" t="str">
        <f>IF(ROW()&gt;steps+10,"",nonMatch(D82,TRUE))</f>
        <v/>
      </c>
      <c r="I82" s="16" t="str">
        <f>IF(ROW()&gt;steps+10,"",nonMatch(D82,FALSE))</f>
        <v/>
      </c>
      <c r="J82" s="17" t="str">
        <f ca="1">IF(ROW()&gt;steps+10,"",IF($I82=$H82,E82,INDEX(INDIRECT(range),$H82,1)+ROUND(($B82-$H82)/($I82-$H82)*(INDEX(INDIRECT(range),$I82,1)-INDEX(INDIRECT(range),$H82,1)),0)))</f>
        <v/>
      </c>
      <c r="K82" s="17" t="str">
        <f ca="1">IF(ROW()&gt;steps+10,"",IF($I82=$H82,F82,INDEX(INDIRECT(range),$H82,2)+ROUND(($B82-$H82)/($I82-$H82)*(INDEX(INDIRECT(range),$I82,2)-INDEX(INDIRECT(range),$H82,2)),0)))</f>
        <v/>
      </c>
      <c r="L82" s="17" t="str">
        <f ca="1">IF(ROW()&gt;steps+10,"",IF($I82=$H82,G82,INDEX(INDIRECT(range),$H82,3)+ROUND(($B82-$H82)/($I82-$H82)*(INDEX(INDIRECT(range),$I82,3)-INDEX(INDIRECT(range),$H82,3)),0)))</f>
        <v/>
      </c>
      <c r="M82" s="21"/>
      <c r="N82" s="15" t="str">
        <f>IF(ROW()&gt;steps+10,"",getnewcolor(M82))</f>
        <v/>
      </c>
      <c r="O82" s="19" t="str">
        <f>IF(ROW()&gt;steps+10,"",gethexcolor(M82))</f>
        <v/>
      </c>
    </row>
    <row r="83" spans="2:15" x14ac:dyDescent="0.25">
      <c r="B83" s="14" t="str">
        <f>IFERROR(IF(B82+1&gt;steps,"",B82+1),"")</f>
        <v/>
      </c>
      <c r="C83" s="15"/>
      <c r="D83" s="15" t="str">
        <f>IF(ROW()&gt;steps+10,"",gethexcolor(C83))</f>
        <v/>
      </c>
      <c r="E83" s="16" t="str">
        <f>IF(ROW()&gt;steps+10,"",HEX2DEC(LEFT(D83,2)))</f>
        <v/>
      </c>
      <c r="F83" s="16" t="str">
        <f>IF(ROW()&gt;steps+10,"",HEX2DEC(MID(D83,3,2)))</f>
        <v/>
      </c>
      <c r="G83" s="16" t="str">
        <f>IF(ROW()&gt;steps+10,"",HEX2DEC(RIGHT(D83,2)))</f>
        <v/>
      </c>
      <c r="H83" s="16" t="str">
        <f>IF(ROW()&gt;steps+10,"",nonMatch(D83,TRUE))</f>
        <v/>
      </c>
      <c r="I83" s="16" t="str">
        <f>IF(ROW()&gt;steps+10,"",nonMatch(D83,FALSE))</f>
        <v/>
      </c>
      <c r="J83" s="17" t="str">
        <f ca="1">IF(ROW()&gt;steps+10,"",IF($I83=$H83,E83,INDEX(INDIRECT(range),$H83,1)+ROUND(($B83-$H83)/($I83-$H83)*(INDEX(INDIRECT(range),$I83,1)-INDEX(INDIRECT(range),$H83,1)),0)))</f>
        <v/>
      </c>
      <c r="K83" s="17" t="str">
        <f ca="1">IF(ROW()&gt;steps+10,"",IF($I83=$H83,F83,INDEX(INDIRECT(range),$H83,2)+ROUND(($B83-$H83)/($I83-$H83)*(INDEX(INDIRECT(range),$I83,2)-INDEX(INDIRECT(range),$H83,2)),0)))</f>
        <v/>
      </c>
      <c r="L83" s="17" t="str">
        <f ca="1">IF(ROW()&gt;steps+10,"",IF($I83=$H83,G83,INDEX(INDIRECT(range),$H83,3)+ROUND(($B83-$H83)/($I83-$H83)*(INDEX(INDIRECT(range),$I83,3)-INDEX(INDIRECT(range),$H83,3)),0)))</f>
        <v/>
      </c>
      <c r="M83" s="21"/>
      <c r="N83" s="15" t="str">
        <f>IF(ROW()&gt;steps+10,"",getnewcolor(M83))</f>
        <v/>
      </c>
      <c r="O83" s="19" t="str">
        <f>IF(ROW()&gt;steps+10,"",gethexcolor(M83))</f>
        <v/>
      </c>
    </row>
    <row r="84" spans="2:15" x14ac:dyDescent="0.25">
      <c r="B84" s="14" t="str">
        <f>IFERROR(IF(B83+1&gt;steps,"",B83+1),"")</f>
        <v/>
      </c>
      <c r="C84" s="15"/>
      <c r="D84" s="15" t="str">
        <f>IF(ROW()&gt;steps+10,"",gethexcolor(C84))</f>
        <v/>
      </c>
      <c r="E84" s="16" t="str">
        <f>IF(ROW()&gt;steps+10,"",HEX2DEC(LEFT(D84,2)))</f>
        <v/>
      </c>
      <c r="F84" s="16" t="str">
        <f>IF(ROW()&gt;steps+10,"",HEX2DEC(MID(D84,3,2)))</f>
        <v/>
      </c>
      <c r="G84" s="16" t="str">
        <f>IF(ROW()&gt;steps+10,"",HEX2DEC(RIGHT(D84,2)))</f>
        <v/>
      </c>
      <c r="H84" s="16" t="str">
        <f>IF(ROW()&gt;steps+10,"",nonMatch(D84,TRUE))</f>
        <v/>
      </c>
      <c r="I84" s="16" t="str">
        <f>IF(ROW()&gt;steps+10,"",nonMatch(D84,FALSE))</f>
        <v/>
      </c>
      <c r="J84" s="17" t="str">
        <f ca="1">IF(ROW()&gt;steps+10,"",IF($I84=$H84,E84,INDEX(INDIRECT(range),$H84,1)+ROUND(($B84-$H84)/($I84-$H84)*(INDEX(INDIRECT(range),$I84,1)-INDEX(INDIRECT(range),$H84,1)),0)))</f>
        <v/>
      </c>
      <c r="K84" s="17" t="str">
        <f ca="1">IF(ROW()&gt;steps+10,"",IF($I84=$H84,F84,INDEX(INDIRECT(range),$H84,2)+ROUND(($B84-$H84)/($I84-$H84)*(INDEX(INDIRECT(range),$I84,2)-INDEX(INDIRECT(range),$H84,2)),0)))</f>
        <v/>
      </c>
      <c r="L84" s="17" t="str">
        <f ca="1">IF(ROW()&gt;steps+10,"",IF($I84=$H84,G84,INDEX(INDIRECT(range),$H84,3)+ROUND(($B84-$H84)/($I84-$H84)*(INDEX(INDIRECT(range),$I84,3)-INDEX(INDIRECT(range),$H84,3)),0)))</f>
        <v/>
      </c>
      <c r="M84" s="21"/>
      <c r="N84" s="15" t="str">
        <f>IF(ROW()&gt;steps+10,"",getnewcolor(M84))</f>
        <v/>
      </c>
      <c r="O84" s="19" t="str">
        <f>IF(ROW()&gt;steps+10,"",gethexcolor(M84))</f>
        <v/>
      </c>
    </row>
    <row r="85" spans="2:15" x14ac:dyDescent="0.25">
      <c r="B85" s="14" t="str">
        <f>IFERROR(IF(B84+1&gt;steps,"",B84+1),"")</f>
        <v/>
      </c>
      <c r="C85" s="15"/>
      <c r="D85" s="15" t="str">
        <f>IF(ROW()&gt;steps+10,"",gethexcolor(C85))</f>
        <v/>
      </c>
      <c r="E85" s="16" t="str">
        <f>IF(ROW()&gt;steps+10,"",HEX2DEC(LEFT(D85,2)))</f>
        <v/>
      </c>
      <c r="F85" s="16" t="str">
        <f>IF(ROW()&gt;steps+10,"",HEX2DEC(MID(D85,3,2)))</f>
        <v/>
      </c>
      <c r="G85" s="16" t="str">
        <f>IF(ROW()&gt;steps+10,"",HEX2DEC(RIGHT(D85,2)))</f>
        <v/>
      </c>
      <c r="H85" s="16" t="str">
        <f>IF(ROW()&gt;steps+10,"",nonMatch(D85,TRUE))</f>
        <v/>
      </c>
      <c r="I85" s="16" t="str">
        <f>IF(ROW()&gt;steps+10,"",nonMatch(D85,FALSE))</f>
        <v/>
      </c>
      <c r="J85" s="17" t="str">
        <f ca="1">IF(ROW()&gt;steps+10,"",IF($I85=$H85,E85,INDEX(INDIRECT(range),$H85,1)+ROUND(($B85-$H85)/($I85-$H85)*(INDEX(INDIRECT(range),$I85,1)-INDEX(INDIRECT(range),$H85,1)),0)))</f>
        <v/>
      </c>
      <c r="K85" s="17" t="str">
        <f ca="1">IF(ROW()&gt;steps+10,"",IF($I85=$H85,F85,INDEX(INDIRECT(range),$H85,2)+ROUND(($B85-$H85)/($I85-$H85)*(INDEX(INDIRECT(range),$I85,2)-INDEX(INDIRECT(range),$H85,2)),0)))</f>
        <v/>
      </c>
      <c r="L85" s="17" t="str">
        <f ca="1">IF(ROW()&gt;steps+10,"",IF($I85=$H85,G85,INDEX(INDIRECT(range),$H85,3)+ROUND(($B85-$H85)/($I85-$H85)*(INDEX(INDIRECT(range),$I85,3)-INDEX(INDIRECT(range),$H85,3)),0)))</f>
        <v/>
      </c>
      <c r="M85" s="21"/>
      <c r="N85" s="15" t="str">
        <f>IF(ROW()&gt;steps+10,"",getnewcolor(M85))</f>
        <v/>
      </c>
      <c r="O85" s="19" t="str">
        <f>IF(ROW()&gt;steps+10,"",gethexcolor(M85))</f>
        <v/>
      </c>
    </row>
    <row r="86" spans="2:15" x14ac:dyDescent="0.25">
      <c r="B86" s="14" t="str">
        <f>IFERROR(IF(B85+1&gt;steps,"",B85+1),"")</f>
        <v/>
      </c>
      <c r="C86" s="15"/>
      <c r="D86" s="15" t="str">
        <f>IF(ROW()&gt;steps+10,"",gethexcolor(C86))</f>
        <v/>
      </c>
      <c r="E86" s="16" t="str">
        <f>IF(ROW()&gt;steps+10,"",HEX2DEC(LEFT(D86,2)))</f>
        <v/>
      </c>
      <c r="F86" s="16" t="str">
        <f>IF(ROW()&gt;steps+10,"",HEX2DEC(MID(D86,3,2)))</f>
        <v/>
      </c>
      <c r="G86" s="16" t="str">
        <f>IF(ROW()&gt;steps+10,"",HEX2DEC(RIGHT(D86,2)))</f>
        <v/>
      </c>
      <c r="H86" s="16" t="str">
        <f>IF(ROW()&gt;steps+10,"",nonMatch(D86,TRUE))</f>
        <v/>
      </c>
      <c r="I86" s="16" t="str">
        <f>IF(ROW()&gt;steps+10,"",nonMatch(D86,FALSE))</f>
        <v/>
      </c>
      <c r="J86" s="17" t="str">
        <f ca="1">IF(ROW()&gt;steps+10,"",IF($I86=$H86,E86,INDEX(INDIRECT(range),$H86,1)+ROUND(($B86-$H86)/($I86-$H86)*(INDEX(INDIRECT(range),$I86,1)-INDEX(INDIRECT(range),$H86,1)),0)))</f>
        <v/>
      </c>
      <c r="K86" s="17" t="str">
        <f ca="1">IF(ROW()&gt;steps+10,"",IF($I86=$H86,F86,INDEX(INDIRECT(range),$H86,2)+ROUND(($B86-$H86)/($I86-$H86)*(INDEX(INDIRECT(range),$I86,2)-INDEX(INDIRECT(range),$H86,2)),0)))</f>
        <v/>
      </c>
      <c r="L86" s="17" t="str">
        <f ca="1">IF(ROW()&gt;steps+10,"",IF($I86=$H86,G86,INDEX(INDIRECT(range),$H86,3)+ROUND(($B86-$H86)/($I86-$H86)*(INDEX(INDIRECT(range),$I86,3)-INDEX(INDIRECT(range),$H86,3)),0)))</f>
        <v/>
      </c>
      <c r="M86" s="21"/>
      <c r="N86" s="15" t="str">
        <f>IF(ROW()&gt;steps+10,"",getnewcolor(M86))</f>
        <v/>
      </c>
      <c r="O86" s="19" t="str">
        <f>IF(ROW()&gt;steps+10,"",gethexcolor(M86))</f>
        <v/>
      </c>
    </row>
    <row r="87" spans="2:15" x14ac:dyDescent="0.25">
      <c r="B87" s="14" t="str">
        <f>IFERROR(IF(B86+1&gt;steps,"",B86+1),"")</f>
        <v/>
      </c>
      <c r="C87" s="15"/>
      <c r="D87" s="15" t="str">
        <f>IF(ROW()&gt;steps+10,"",gethexcolor(C87))</f>
        <v/>
      </c>
      <c r="E87" s="16" t="str">
        <f>IF(ROW()&gt;steps+10,"",HEX2DEC(LEFT(D87,2)))</f>
        <v/>
      </c>
      <c r="F87" s="16" t="str">
        <f>IF(ROW()&gt;steps+10,"",HEX2DEC(MID(D87,3,2)))</f>
        <v/>
      </c>
      <c r="G87" s="16" t="str">
        <f>IF(ROW()&gt;steps+10,"",HEX2DEC(RIGHT(D87,2)))</f>
        <v/>
      </c>
      <c r="H87" s="16" t="str">
        <f>IF(ROW()&gt;steps+10,"",nonMatch(D87,TRUE))</f>
        <v/>
      </c>
      <c r="I87" s="16" t="str">
        <f>IF(ROW()&gt;steps+10,"",nonMatch(D87,FALSE))</f>
        <v/>
      </c>
      <c r="J87" s="17" t="str">
        <f ca="1">IF(ROW()&gt;steps+10,"",IF($I87=$H87,E87,INDEX(INDIRECT(range),$H87,1)+ROUND(($B87-$H87)/($I87-$H87)*(INDEX(INDIRECT(range),$I87,1)-INDEX(INDIRECT(range),$H87,1)),0)))</f>
        <v/>
      </c>
      <c r="K87" s="17" t="str">
        <f ca="1">IF(ROW()&gt;steps+10,"",IF($I87=$H87,F87,INDEX(INDIRECT(range),$H87,2)+ROUND(($B87-$H87)/($I87-$H87)*(INDEX(INDIRECT(range),$I87,2)-INDEX(INDIRECT(range),$H87,2)),0)))</f>
        <v/>
      </c>
      <c r="L87" s="17" t="str">
        <f ca="1">IF(ROW()&gt;steps+10,"",IF($I87=$H87,G87,INDEX(INDIRECT(range),$H87,3)+ROUND(($B87-$H87)/($I87-$H87)*(INDEX(INDIRECT(range),$I87,3)-INDEX(INDIRECT(range),$H87,3)),0)))</f>
        <v/>
      </c>
      <c r="M87" s="21"/>
      <c r="N87" s="15" t="str">
        <f>IF(ROW()&gt;steps+10,"",getnewcolor(M87))</f>
        <v/>
      </c>
      <c r="O87" s="19" t="str">
        <f>IF(ROW()&gt;steps+10,"",gethexcolor(M87))</f>
        <v/>
      </c>
    </row>
    <row r="88" spans="2:15" x14ac:dyDescent="0.25">
      <c r="B88" s="14" t="str">
        <f>IFERROR(IF(B87+1&gt;steps,"",B87+1),"")</f>
        <v/>
      </c>
      <c r="C88" s="15"/>
      <c r="D88" s="15" t="str">
        <f>IF(ROW()&gt;steps+10,"",gethexcolor(C88))</f>
        <v/>
      </c>
      <c r="E88" s="16" t="str">
        <f>IF(ROW()&gt;steps+10,"",HEX2DEC(LEFT(D88,2)))</f>
        <v/>
      </c>
      <c r="F88" s="16" t="str">
        <f>IF(ROW()&gt;steps+10,"",HEX2DEC(MID(D88,3,2)))</f>
        <v/>
      </c>
      <c r="G88" s="16" t="str">
        <f>IF(ROW()&gt;steps+10,"",HEX2DEC(RIGHT(D88,2)))</f>
        <v/>
      </c>
      <c r="H88" s="16" t="str">
        <f>IF(ROW()&gt;steps+10,"",nonMatch(D88,TRUE))</f>
        <v/>
      </c>
      <c r="I88" s="16" t="str">
        <f>IF(ROW()&gt;steps+10,"",nonMatch(D88,FALSE))</f>
        <v/>
      </c>
      <c r="J88" s="17" t="str">
        <f ca="1">IF(ROW()&gt;steps+10,"",IF($I88=$H88,E88,INDEX(INDIRECT(range),$H88,1)+ROUND(($B88-$H88)/($I88-$H88)*(INDEX(INDIRECT(range),$I88,1)-INDEX(INDIRECT(range),$H88,1)),0)))</f>
        <v/>
      </c>
      <c r="K88" s="17" t="str">
        <f ca="1">IF(ROW()&gt;steps+10,"",IF($I88=$H88,F88,INDEX(INDIRECT(range),$H88,2)+ROUND(($B88-$H88)/($I88-$H88)*(INDEX(INDIRECT(range),$I88,2)-INDEX(INDIRECT(range),$H88,2)),0)))</f>
        <v/>
      </c>
      <c r="L88" s="17" t="str">
        <f ca="1">IF(ROW()&gt;steps+10,"",IF($I88=$H88,G88,INDEX(INDIRECT(range),$H88,3)+ROUND(($B88-$H88)/($I88-$H88)*(INDEX(INDIRECT(range),$I88,3)-INDEX(INDIRECT(range),$H88,3)),0)))</f>
        <v/>
      </c>
      <c r="M88" s="21"/>
      <c r="N88" s="15" t="str">
        <f>IF(ROW()&gt;steps+10,"",getnewcolor(M88))</f>
        <v/>
      </c>
      <c r="O88" s="19" t="str">
        <f>IF(ROW()&gt;steps+10,"",gethexcolor(M88))</f>
        <v/>
      </c>
    </row>
    <row r="89" spans="2:15" x14ac:dyDescent="0.25">
      <c r="B89" s="14" t="str">
        <f>IFERROR(IF(B88+1&gt;steps,"",B88+1),"")</f>
        <v/>
      </c>
      <c r="C89" s="15"/>
      <c r="D89" s="15" t="str">
        <f>IF(ROW()&gt;steps+10,"",gethexcolor(C89))</f>
        <v/>
      </c>
      <c r="E89" s="16" t="str">
        <f>IF(ROW()&gt;steps+10,"",HEX2DEC(LEFT(D89,2)))</f>
        <v/>
      </c>
      <c r="F89" s="16" t="str">
        <f>IF(ROW()&gt;steps+10,"",HEX2DEC(MID(D89,3,2)))</f>
        <v/>
      </c>
      <c r="G89" s="16" t="str">
        <f>IF(ROW()&gt;steps+10,"",HEX2DEC(RIGHT(D89,2)))</f>
        <v/>
      </c>
      <c r="H89" s="16" t="str">
        <f>IF(ROW()&gt;steps+10,"",nonMatch(D89,TRUE))</f>
        <v/>
      </c>
      <c r="I89" s="16" t="str">
        <f>IF(ROW()&gt;steps+10,"",nonMatch(D89,FALSE))</f>
        <v/>
      </c>
      <c r="J89" s="17" t="str">
        <f ca="1">IF(ROW()&gt;steps+10,"",IF($I89=$H89,E89,INDEX(INDIRECT(range),$H89,1)+ROUND(($B89-$H89)/($I89-$H89)*(INDEX(INDIRECT(range),$I89,1)-INDEX(INDIRECT(range),$H89,1)),0)))</f>
        <v/>
      </c>
      <c r="K89" s="17" t="str">
        <f ca="1">IF(ROW()&gt;steps+10,"",IF($I89=$H89,F89,INDEX(INDIRECT(range),$H89,2)+ROUND(($B89-$H89)/($I89-$H89)*(INDEX(INDIRECT(range),$I89,2)-INDEX(INDIRECT(range),$H89,2)),0)))</f>
        <v/>
      </c>
      <c r="L89" s="17" t="str">
        <f ca="1">IF(ROW()&gt;steps+10,"",IF($I89=$H89,G89,INDEX(INDIRECT(range),$H89,3)+ROUND(($B89-$H89)/($I89-$H89)*(INDEX(INDIRECT(range),$I89,3)-INDEX(INDIRECT(range),$H89,3)),0)))</f>
        <v/>
      </c>
      <c r="M89" s="21"/>
      <c r="N89" s="15" t="str">
        <f>IF(ROW()&gt;steps+10,"",getnewcolor(M89))</f>
        <v/>
      </c>
      <c r="O89" s="19" t="str">
        <f>IF(ROW()&gt;steps+10,"",gethexcolor(M89))</f>
        <v/>
      </c>
    </row>
    <row r="90" spans="2:15" x14ac:dyDescent="0.25">
      <c r="B90" s="14" t="str">
        <f>IFERROR(IF(B89+1&gt;steps,"",B89+1),"")</f>
        <v/>
      </c>
      <c r="C90" s="15"/>
      <c r="D90" s="15" t="str">
        <f>IF(ROW()&gt;steps+10,"",gethexcolor(C90))</f>
        <v/>
      </c>
      <c r="E90" s="16" t="str">
        <f>IF(ROW()&gt;steps+10,"",HEX2DEC(LEFT(D90,2)))</f>
        <v/>
      </c>
      <c r="F90" s="16" t="str">
        <f>IF(ROW()&gt;steps+10,"",HEX2DEC(MID(D90,3,2)))</f>
        <v/>
      </c>
      <c r="G90" s="16" t="str">
        <f>IF(ROW()&gt;steps+10,"",HEX2DEC(RIGHT(D90,2)))</f>
        <v/>
      </c>
      <c r="H90" s="16" t="str">
        <f>IF(ROW()&gt;steps+10,"",nonMatch(D90,TRUE))</f>
        <v/>
      </c>
      <c r="I90" s="16" t="str">
        <f>IF(ROW()&gt;steps+10,"",nonMatch(D90,FALSE))</f>
        <v/>
      </c>
      <c r="J90" s="17" t="str">
        <f ca="1">IF(ROW()&gt;steps+10,"",IF($I90=$H90,E90,INDEX(INDIRECT(range),$H90,1)+ROUND(($B90-$H90)/($I90-$H90)*(INDEX(INDIRECT(range),$I90,1)-INDEX(INDIRECT(range),$H90,1)),0)))</f>
        <v/>
      </c>
      <c r="K90" s="17" t="str">
        <f ca="1">IF(ROW()&gt;steps+10,"",IF($I90=$H90,F90,INDEX(INDIRECT(range),$H90,2)+ROUND(($B90-$H90)/($I90-$H90)*(INDEX(INDIRECT(range),$I90,2)-INDEX(INDIRECT(range),$H90,2)),0)))</f>
        <v/>
      </c>
      <c r="L90" s="17" t="str">
        <f ca="1">IF(ROW()&gt;steps+10,"",IF($I90=$H90,G90,INDEX(INDIRECT(range),$H90,3)+ROUND(($B90-$H90)/($I90-$H90)*(INDEX(INDIRECT(range),$I90,3)-INDEX(INDIRECT(range),$H90,3)),0)))</f>
        <v/>
      </c>
      <c r="M90" s="21"/>
      <c r="N90" s="15" t="str">
        <f>IF(ROW()&gt;steps+10,"",getnewcolor(M90))</f>
        <v/>
      </c>
      <c r="O90" s="19" t="str">
        <f>IF(ROW()&gt;steps+10,"",gethexcolor(M90))</f>
        <v/>
      </c>
    </row>
    <row r="91" spans="2:15" x14ac:dyDescent="0.25">
      <c r="B91" s="14" t="str">
        <f>IFERROR(IF(B90+1&gt;steps,"",B90+1),"")</f>
        <v/>
      </c>
      <c r="C91" s="15"/>
      <c r="D91" s="15" t="str">
        <f>IF(ROW()&gt;steps+10,"",gethexcolor(C91))</f>
        <v/>
      </c>
      <c r="E91" s="16" t="str">
        <f>IF(ROW()&gt;steps+10,"",HEX2DEC(LEFT(D91,2)))</f>
        <v/>
      </c>
      <c r="F91" s="16" t="str">
        <f>IF(ROW()&gt;steps+10,"",HEX2DEC(MID(D91,3,2)))</f>
        <v/>
      </c>
      <c r="G91" s="16" t="str">
        <f>IF(ROW()&gt;steps+10,"",HEX2DEC(RIGHT(D91,2)))</f>
        <v/>
      </c>
      <c r="H91" s="16" t="str">
        <f>IF(ROW()&gt;steps+10,"",nonMatch(D91,TRUE))</f>
        <v/>
      </c>
      <c r="I91" s="16" t="str">
        <f>IF(ROW()&gt;steps+10,"",nonMatch(D91,FALSE))</f>
        <v/>
      </c>
      <c r="J91" s="17" t="str">
        <f ca="1">IF(ROW()&gt;steps+10,"",IF($I91=$H91,E91,INDEX(INDIRECT(range),$H91,1)+ROUND(($B91-$H91)/($I91-$H91)*(INDEX(INDIRECT(range),$I91,1)-INDEX(INDIRECT(range),$H91,1)),0)))</f>
        <v/>
      </c>
      <c r="K91" s="17" t="str">
        <f ca="1">IF(ROW()&gt;steps+10,"",IF($I91=$H91,F91,INDEX(INDIRECT(range),$H91,2)+ROUND(($B91-$H91)/($I91-$H91)*(INDEX(INDIRECT(range),$I91,2)-INDEX(INDIRECT(range),$H91,2)),0)))</f>
        <v/>
      </c>
      <c r="L91" s="17" t="str">
        <f ca="1">IF(ROW()&gt;steps+10,"",IF($I91=$H91,G91,INDEX(INDIRECT(range),$H91,3)+ROUND(($B91-$H91)/($I91-$H91)*(INDEX(INDIRECT(range),$I91,3)-INDEX(INDIRECT(range),$H91,3)),0)))</f>
        <v/>
      </c>
      <c r="M91" s="21"/>
      <c r="N91" s="15" t="str">
        <f>IF(ROW()&gt;steps+10,"",getnewcolor(M91))</f>
        <v/>
      </c>
      <c r="O91" s="19" t="str">
        <f>IF(ROW()&gt;steps+10,"",gethexcolor(M91))</f>
        <v/>
      </c>
    </row>
    <row r="92" spans="2:15" x14ac:dyDescent="0.25">
      <c r="B92" s="14" t="str">
        <f>IFERROR(IF(B91+1&gt;steps,"",B91+1),"")</f>
        <v/>
      </c>
      <c r="C92" s="15"/>
      <c r="D92" s="15" t="str">
        <f>IF(ROW()&gt;steps+10,"",gethexcolor(C92))</f>
        <v/>
      </c>
      <c r="E92" s="16" t="str">
        <f>IF(ROW()&gt;steps+10,"",HEX2DEC(LEFT(D92,2)))</f>
        <v/>
      </c>
      <c r="F92" s="16" t="str">
        <f>IF(ROW()&gt;steps+10,"",HEX2DEC(MID(D92,3,2)))</f>
        <v/>
      </c>
      <c r="G92" s="16" t="str">
        <f>IF(ROW()&gt;steps+10,"",HEX2DEC(RIGHT(D92,2)))</f>
        <v/>
      </c>
      <c r="H92" s="16" t="str">
        <f>IF(ROW()&gt;steps+10,"",nonMatch(D92,TRUE))</f>
        <v/>
      </c>
      <c r="I92" s="16" t="str">
        <f>IF(ROW()&gt;steps+10,"",nonMatch(D92,FALSE))</f>
        <v/>
      </c>
      <c r="J92" s="17" t="str">
        <f ca="1">IF(ROW()&gt;steps+10,"",IF($I92=$H92,E92,INDEX(INDIRECT(range),$H92,1)+ROUND(($B92-$H92)/($I92-$H92)*(INDEX(INDIRECT(range),$I92,1)-INDEX(INDIRECT(range),$H92,1)),0)))</f>
        <v/>
      </c>
      <c r="K92" s="17" t="str">
        <f ca="1">IF(ROW()&gt;steps+10,"",IF($I92=$H92,F92,INDEX(INDIRECT(range),$H92,2)+ROUND(($B92-$H92)/($I92-$H92)*(INDEX(INDIRECT(range),$I92,2)-INDEX(INDIRECT(range),$H92,2)),0)))</f>
        <v/>
      </c>
      <c r="L92" s="17" t="str">
        <f ca="1">IF(ROW()&gt;steps+10,"",IF($I92=$H92,G92,INDEX(INDIRECT(range),$H92,3)+ROUND(($B92-$H92)/($I92-$H92)*(INDEX(INDIRECT(range),$I92,3)-INDEX(INDIRECT(range),$H92,3)),0)))</f>
        <v/>
      </c>
      <c r="M92" s="21"/>
      <c r="N92" s="15" t="str">
        <f>IF(ROW()&gt;steps+10,"",getnewcolor(M92))</f>
        <v/>
      </c>
      <c r="O92" s="19" t="str">
        <f>IF(ROW()&gt;steps+10,"",gethexcolor(M92))</f>
        <v/>
      </c>
    </row>
    <row r="93" spans="2:15" x14ac:dyDescent="0.25">
      <c r="B93" s="14" t="str">
        <f>IFERROR(IF(B92+1&gt;steps,"",B92+1),"")</f>
        <v/>
      </c>
      <c r="C93" s="15"/>
      <c r="D93" s="15" t="str">
        <f>IF(ROW()&gt;steps+10,"",gethexcolor(C93))</f>
        <v/>
      </c>
      <c r="E93" s="16" t="str">
        <f>IF(ROW()&gt;steps+10,"",HEX2DEC(LEFT(D93,2)))</f>
        <v/>
      </c>
      <c r="F93" s="16" t="str">
        <f>IF(ROW()&gt;steps+10,"",HEX2DEC(MID(D93,3,2)))</f>
        <v/>
      </c>
      <c r="G93" s="16" t="str">
        <f>IF(ROW()&gt;steps+10,"",HEX2DEC(RIGHT(D93,2)))</f>
        <v/>
      </c>
      <c r="H93" s="16" t="str">
        <f>IF(ROW()&gt;steps+10,"",nonMatch(D93,TRUE))</f>
        <v/>
      </c>
      <c r="I93" s="16" t="str">
        <f>IF(ROW()&gt;steps+10,"",nonMatch(D93,FALSE))</f>
        <v/>
      </c>
      <c r="J93" s="17" t="str">
        <f ca="1">IF(ROW()&gt;steps+10,"",IF($I93=$H93,E93,INDEX(INDIRECT(range),$H93,1)+ROUND(($B93-$H93)/($I93-$H93)*(INDEX(INDIRECT(range),$I93,1)-INDEX(INDIRECT(range),$H93,1)),0)))</f>
        <v/>
      </c>
      <c r="K93" s="17" t="str">
        <f ca="1">IF(ROW()&gt;steps+10,"",IF($I93=$H93,F93,INDEX(INDIRECT(range),$H93,2)+ROUND(($B93-$H93)/($I93-$H93)*(INDEX(INDIRECT(range),$I93,2)-INDEX(INDIRECT(range),$H93,2)),0)))</f>
        <v/>
      </c>
      <c r="L93" s="17" t="str">
        <f ca="1">IF(ROW()&gt;steps+10,"",IF($I93=$H93,G93,INDEX(INDIRECT(range),$H93,3)+ROUND(($B93-$H93)/($I93-$H93)*(INDEX(INDIRECT(range),$I93,3)-INDEX(INDIRECT(range),$H93,3)),0)))</f>
        <v/>
      </c>
      <c r="M93" s="21"/>
      <c r="N93" s="15" t="str">
        <f>IF(ROW()&gt;steps+10,"",getnewcolor(M93))</f>
        <v/>
      </c>
      <c r="O93" s="19" t="str">
        <f>IF(ROW()&gt;steps+10,"",gethexcolor(M93))</f>
        <v/>
      </c>
    </row>
    <row r="94" spans="2:15" x14ac:dyDescent="0.25">
      <c r="B94" s="14" t="str">
        <f>IFERROR(IF(B93+1&gt;steps,"",B93+1),"")</f>
        <v/>
      </c>
      <c r="C94" s="15"/>
      <c r="D94" s="15" t="str">
        <f>IF(ROW()&gt;steps+10,"",gethexcolor(C94))</f>
        <v/>
      </c>
      <c r="E94" s="16" t="str">
        <f>IF(ROW()&gt;steps+10,"",HEX2DEC(LEFT(D94,2)))</f>
        <v/>
      </c>
      <c r="F94" s="16" t="str">
        <f>IF(ROW()&gt;steps+10,"",HEX2DEC(MID(D94,3,2)))</f>
        <v/>
      </c>
      <c r="G94" s="16" t="str">
        <f>IF(ROW()&gt;steps+10,"",HEX2DEC(RIGHT(D94,2)))</f>
        <v/>
      </c>
      <c r="H94" s="16" t="str">
        <f>IF(ROW()&gt;steps+10,"",nonMatch(D94,TRUE))</f>
        <v/>
      </c>
      <c r="I94" s="16" t="str">
        <f>IF(ROW()&gt;steps+10,"",nonMatch(D94,FALSE))</f>
        <v/>
      </c>
      <c r="J94" s="17" t="str">
        <f ca="1">IF(ROW()&gt;steps+10,"",IF($I94=$H94,E94,INDEX(INDIRECT(range),$H94,1)+ROUND(($B94-$H94)/($I94-$H94)*(INDEX(INDIRECT(range),$I94,1)-INDEX(INDIRECT(range),$H94,1)),0)))</f>
        <v/>
      </c>
      <c r="K94" s="17" t="str">
        <f ca="1">IF(ROW()&gt;steps+10,"",IF($I94=$H94,F94,INDEX(INDIRECT(range),$H94,2)+ROUND(($B94-$H94)/($I94-$H94)*(INDEX(INDIRECT(range),$I94,2)-INDEX(INDIRECT(range),$H94,2)),0)))</f>
        <v/>
      </c>
      <c r="L94" s="17" t="str">
        <f ca="1">IF(ROW()&gt;steps+10,"",IF($I94=$H94,G94,INDEX(INDIRECT(range),$H94,3)+ROUND(($B94-$H94)/($I94-$H94)*(INDEX(INDIRECT(range),$I94,3)-INDEX(INDIRECT(range),$H94,3)),0)))</f>
        <v/>
      </c>
      <c r="M94" s="21"/>
      <c r="N94" s="15" t="str">
        <f>IF(ROW()&gt;steps+10,"",getnewcolor(M94))</f>
        <v/>
      </c>
      <c r="O94" s="19" t="str">
        <f>IF(ROW()&gt;steps+10,"",gethexcolor(M94))</f>
        <v/>
      </c>
    </row>
    <row r="95" spans="2:15" x14ac:dyDescent="0.25">
      <c r="B95" s="14" t="str">
        <f>IFERROR(IF(B94+1&gt;steps,"",B94+1),"")</f>
        <v/>
      </c>
      <c r="C95" s="15"/>
      <c r="D95" s="15" t="str">
        <f>IF(ROW()&gt;steps+10,"",gethexcolor(C95))</f>
        <v/>
      </c>
      <c r="E95" s="16" t="str">
        <f>IF(ROW()&gt;steps+10,"",HEX2DEC(LEFT(D95,2)))</f>
        <v/>
      </c>
      <c r="F95" s="16" t="str">
        <f>IF(ROW()&gt;steps+10,"",HEX2DEC(MID(D95,3,2)))</f>
        <v/>
      </c>
      <c r="G95" s="16" t="str">
        <f>IF(ROW()&gt;steps+10,"",HEX2DEC(RIGHT(D95,2)))</f>
        <v/>
      </c>
      <c r="H95" s="16" t="str">
        <f>IF(ROW()&gt;steps+10,"",nonMatch(D95,TRUE))</f>
        <v/>
      </c>
      <c r="I95" s="16" t="str">
        <f>IF(ROW()&gt;steps+10,"",nonMatch(D95,FALSE))</f>
        <v/>
      </c>
      <c r="J95" s="17" t="str">
        <f ca="1">IF(ROW()&gt;steps+10,"",IF($I95=$H95,E95,INDEX(INDIRECT(range),$H95,1)+ROUND(($B95-$H95)/($I95-$H95)*(INDEX(INDIRECT(range),$I95,1)-INDEX(INDIRECT(range),$H95,1)),0)))</f>
        <v/>
      </c>
      <c r="K95" s="17" t="str">
        <f ca="1">IF(ROW()&gt;steps+10,"",IF($I95=$H95,F95,INDEX(INDIRECT(range),$H95,2)+ROUND(($B95-$H95)/($I95-$H95)*(INDEX(INDIRECT(range),$I95,2)-INDEX(INDIRECT(range),$H95,2)),0)))</f>
        <v/>
      </c>
      <c r="L95" s="17" t="str">
        <f ca="1">IF(ROW()&gt;steps+10,"",IF($I95=$H95,G95,INDEX(INDIRECT(range),$H95,3)+ROUND(($B95-$H95)/($I95-$H95)*(INDEX(INDIRECT(range),$I95,3)-INDEX(INDIRECT(range),$H95,3)),0)))</f>
        <v/>
      </c>
      <c r="M95" s="21"/>
      <c r="N95" s="15" t="str">
        <f>IF(ROW()&gt;steps+10,"",getnewcolor(M95))</f>
        <v/>
      </c>
      <c r="O95" s="19" t="str">
        <f>IF(ROW()&gt;steps+10,"",gethexcolor(M95))</f>
        <v/>
      </c>
    </row>
    <row r="96" spans="2:15" x14ac:dyDescent="0.25">
      <c r="B96" s="14" t="str">
        <f>IFERROR(IF(B95+1&gt;steps,"",B95+1),"")</f>
        <v/>
      </c>
      <c r="C96" s="15"/>
      <c r="D96" s="15" t="str">
        <f>IF(ROW()&gt;steps+10,"",gethexcolor(C96))</f>
        <v/>
      </c>
      <c r="E96" s="16" t="str">
        <f>IF(ROW()&gt;steps+10,"",HEX2DEC(LEFT(D96,2)))</f>
        <v/>
      </c>
      <c r="F96" s="16" t="str">
        <f>IF(ROW()&gt;steps+10,"",HEX2DEC(MID(D96,3,2)))</f>
        <v/>
      </c>
      <c r="G96" s="16" t="str">
        <f>IF(ROW()&gt;steps+10,"",HEX2DEC(RIGHT(D96,2)))</f>
        <v/>
      </c>
      <c r="H96" s="16" t="str">
        <f>IF(ROW()&gt;steps+10,"",nonMatch(D96,TRUE))</f>
        <v/>
      </c>
      <c r="I96" s="16" t="str">
        <f>IF(ROW()&gt;steps+10,"",nonMatch(D96,FALSE))</f>
        <v/>
      </c>
      <c r="J96" s="17" t="str">
        <f ca="1">IF(ROW()&gt;steps+10,"",IF($I96=$H96,E96,INDEX(INDIRECT(range),$H96,1)+ROUND(($B96-$H96)/($I96-$H96)*(INDEX(INDIRECT(range),$I96,1)-INDEX(INDIRECT(range),$H96,1)),0)))</f>
        <v/>
      </c>
      <c r="K96" s="17" t="str">
        <f ca="1">IF(ROW()&gt;steps+10,"",IF($I96=$H96,F96,INDEX(INDIRECT(range),$H96,2)+ROUND(($B96-$H96)/($I96-$H96)*(INDEX(INDIRECT(range),$I96,2)-INDEX(INDIRECT(range),$H96,2)),0)))</f>
        <v/>
      </c>
      <c r="L96" s="17" t="str">
        <f ca="1">IF(ROW()&gt;steps+10,"",IF($I96=$H96,G96,INDEX(INDIRECT(range),$H96,3)+ROUND(($B96-$H96)/($I96-$H96)*(INDEX(INDIRECT(range),$I96,3)-INDEX(INDIRECT(range),$H96,3)),0)))</f>
        <v/>
      </c>
      <c r="M96" s="21"/>
      <c r="N96" s="15" t="str">
        <f>IF(ROW()&gt;steps+10,"",getnewcolor(M96))</f>
        <v/>
      </c>
      <c r="O96" s="19" t="str">
        <f>IF(ROW()&gt;steps+10,"",gethexcolor(M96))</f>
        <v/>
      </c>
    </row>
    <row r="97" spans="2:15" x14ac:dyDescent="0.25">
      <c r="B97" s="14" t="str">
        <f>IFERROR(IF(B96+1&gt;steps,"",B96+1),"")</f>
        <v/>
      </c>
      <c r="C97" s="15"/>
      <c r="D97" s="15" t="str">
        <f>IF(ROW()&gt;steps+10,"",gethexcolor(C97))</f>
        <v/>
      </c>
      <c r="E97" s="16" t="str">
        <f>IF(ROW()&gt;steps+10,"",HEX2DEC(LEFT(D97,2)))</f>
        <v/>
      </c>
      <c r="F97" s="16" t="str">
        <f>IF(ROW()&gt;steps+10,"",HEX2DEC(MID(D97,3,2)))</f>
        <v/>
      </c>
      <c r="G97" s="16" t="str">
        <f>IF(ROW()&gt;steps+10,"",HEX2DEC(RIGHT(D97,2)))</f>
        <v/>
      </c>
      <c r="H97" s="16" t="str">
        <f>IF(ROW()&gt;steps+10,"",nonMatch(D97,TRUE))</f>
        <v/>
      </c>
      <c r="I97" s="16" t="str">
        <f>IF(ROW()&gt;steps+10,"",nonMatch(D97,FALSE))</f>
        <v/>
      </c>
      <c r="J97" s="17" t="str">
        <f ca="1">IF(ROW()&gt;steps+10,"",IF($I97=$H97,E97,INDEX(INDIRECT(range),$H97,1)+ROUND(($B97-$H97)/($I97-$H97)*(INDEX(INDIRECT(range),$I97,1)-INDEX(INDIRECT(range),$H97,1)),0)))</f>
        <v/>
      </c>
      <c r="K97" s="17" t="str">
        <f ca="1">IF(ROW()&gt;steps+10,"",IF($I97=$H97,F97,INDEX(INDIRECT(range),$H97,2)+ROUND(($B97-$H97)/($I97-$H97)*(INDEX(INDIRECT(range),$I97,2)-INDEX(INDIRECT(range),$H97,2)),0)))</f>
        <v/>
      </c>
      <c r="L97" s="17" t="str">
        <f ca="1">IF(ROW()&gt;steps+10,"",IF($I97=$H97,G97,INDEX(INDIRECT(range),$H97,3)+ROUND(($B97-$H97)/($I97-$H97)*(INDEX(INDIRECT(range),$I97,3)-INDEX(INDIRECT(range),$H97,3)),0)))</f>
        <v/>
      </c>
      <c r="M97" s="21"/>
      <c r="N97" s="15" t="str">
        <f>IF(ROW()&gt;steps+10,"",getnewcolor(M97))</f>
        <v/>
      </c>
      <c r="O97" s="19" t="str">
        <f>IF(ROW()&gt;steps+10,"",gethexcolor(M97))</f>
        <v/>
      </c>
    </row>
    <row r="98" spans="2:15" x14ac:dyDescent="0.25">
      <c r="B98" s="14" t="str">
        <f>IFERROR(IF(B97+1&gt;steps,"",B97+1),"")</f>
        <v/>
      </c>
      <c r="C98" s="15"/>
      <c r="D98" s="15" t="str">
        <f>IF(ROW()&gt;steps+10,"",gethexcolor(C98))</f>
        <v/>
      </c>
      <c r="E98" s="16" t="str">
        <f>IF(ROW()&gt;steps+10,"",HEX2DEC(LEFT(D98,2)))</f>
        <v/>
      </c>
      <c r="F98" s="16" t="str">
        <f>IF(ROW()&gt;steps+10,"",HEX2DEC(MID(D98,3,2)))</f>
        <v/>
      </c>
      <c r="G98" s="16" t="str">
        <f>IF(ROW()&gt;steps+10,"",HEX2DEC(RIGHT(D98,2)))</f>
        <v/>
      </c>
      <c r="H98" s="16" t="str">
        <f>IF(ROW()&gt;steps+10,"",nonMatch(D98,TRUE))</f>
        <v/>
      </c>
      <c r="I98" s="16" t="str">
        <f>IF(ROW()&gt;steps+10,"",nonMatch(D98,FALSE))</f>
        <v/>
      </c>
      <c r="J98" s="17" t="str">
        <f ca="1">IF(ROW()&gt;steps+10,"",IF($I98=$H98,E98,INDEX(INDIRECT(range),$H98,1)+ROUND(($B98-$H98)/($I98-$H98)*(INDEX(INDIRECT(range),$I98,1)-INDEX(INDIRECT(range),$H98,1)),0)))</f>
        <v/>
      </c>
      <c r="K98" s="17" t="str">
        <f ca="1">IF(ROW()&gt;steps+10,"",IF($I98=$H98,F98,INDEX(INDIRECT(range),$H98,2)+ROUND(($B98-$H98)/($I98-$H98)*(INDEX(INDIRECT(range),$I98,2)-INDEX(INDIRECT(range),$H98,2)),0)))</f>
        <v/>
      </c>
      <c r="L98" s="17" t="str">
        <f ca="1">IF(ROW()&gt;steps+10,"",IF($I98=$H98,G98,INDEX(INDIRECT(range),$H98,3)+ROUND(($B98-$H98)/($I98-$H98)*(INDEX(INDIRECT(range),$I98,3)-INDEX(INDIRECT(range),$H98,3)),0)))</f>
        <v/>
      </c>
      <c r="M98" s="21"/>
      <c r="N98" s="15" t="str">
        <f>IF(ROW()&gt;steps+10,"",getnewcolor(M98))</f>
        <v/>
      </c>
      <c r="O98" s="19" t="str">
        <f>IF(ROW()&gt;steps+10,"",gethexcolor(M98))</f>
        <v/>
      </c>
    </row>
    <row r="99" spans="2:15" x14ac:dyDescent="0.25">
      <c r="B99" s="14" t="str">
        <f>IFERROR(IF(B98+1&gt;steps,"",B98+1),"")</f>
        <v/>
      </c>
      <c r="C99" s="15"/>
      <c r="D99" s="15" t="str">
        <f>IF(ROW()&gt;steps+10,"",gethexcolor(C99))</f>
        <v/>
      </c>
      <c r="E99" s="16" t="str">
        <f>IF(ROW()&gt;steps+10,"",HEX2DEC(LEFT(D99,2)))</f>
        <v/>
      </c>
      <c r="F99" s="16" t="str">
        <f>IF(ROW()&gt;steps+10,"",HEX2DEC(MID(D99,3,2)))</f>
        <v/>
      </c>
      <c r="G99" s="16" t="str">
        <f>IF(ROW()&gt;steps+10,"",HEX2DEC(RIGHT(D99,2)))</f>
        <v/>
      </c>
      <c r="H99" s="16" t="str">
        <f>IF(ROW()&gt;steps+10,"",nonMatch(D99,TRUE))</f>
        <v/>
      </c>
      <c r="I99" s="16" t="str">
        <f>IF(ROW()&gt;steps+10,"",nonMatch(D99,FALSE))</f>
        <v/>
      </c>
      <c r="J99" s="17" t="str">
        <f ca="1">IF(ROW()&gt;steps+10,"",IF($I99=$H99,E99,INDEX(INDIRECT(range),$H99,1)+ROUND(($B99-$H99)/($I99-$H99)*(INDEX(INDIRECT(range),$I99,1)-INDEX(INDIRECT(range),$H99,1)),0)))</f>
        <v/>
      </c>
      <c r="K99" s="17" t="str">
        <f ca="1">IF(ROW()&gt;steps+10,"",IF($I99=$H99,F99,INDEX(INDIRECT(range),$H99,2)+ROUND(($B99-$H99)/($I99-$H99)*(INDEX(INDIRECT(range),$I99,2)-INDEX(INDIRECT(range),$H99,2)),0)))</f>
        <v/>
      </c>
      <c r="L99" s="17" t="str">
        <f ca="1">IF(ROW()&gt;steps+10,"",IF($I99=$H99,G99,INDEX(INDIRECT(range),$H99,3)+ROUND(($B99-$H99)/($I99-$H99)*(INDEX(INDIRECT(range),$I99,3)-INDEX(INDIRECT(range),$H99,3)),0)))</f>
        <v/>
      </c>
      <c r="M99" s="21"/>
      <c r="N99" s="15" t="str">
        <f>IF(ROW()&gt;steps+10,"",getnewcolor(M99))</f>
        <v/>
      </c>
      <c r="O99" s="19" t="str">
        <f>IF(ROW()&gt;steps+10,"",gethexcolor(M99))</f>
        <v/>
      </c>
    </row>
    <row r="100" spans="2:15" x14ac:dyDescent="0.25">
      <c r="B100" s="14" t="str">
        <f>IFERROR(IF(B99+1&gt;steps,"",B99+1),"")</f>
        <v/>
      </c>
      <c r="C100" s="15"/>
      <c r="D100" s="15" t="str">
        <f>IF(ROW()&gt;steps+10,"",gethexcolor(C100))</f>
        <v/>
      </c>
      <c r="E100" s="16" t="str">
        <f>IF(ROW()&gt;steps+10,"",HEX2DEC(LEFT(D100,2)))</f>
        <v/>
      </c>
      <c r="F100" s="16" t="str">
        <f>IF(ROW()&gt;steps+10,"",HEX2DEC(MID(D100,3,2)))</f>
        <v/>
      </c>
      <c r="G100" s="16" t="str">
        <f>IF(ROW()&gt;steps+10,"",HEX2DEC(RIGHT(D100,2)))</f>
        <v/>
      </c>
      <c r="H100" s="16" t="str">
        <f>IF(ROW()&gt;steps+10,"",nonMatch(D100,TRUE))</f>
        <v/>
      </c>
      <c r="I100" s="16" t="str">
        <f>IF(ROW()&gt;steps+10,"",nonMatch(D100,FALSE))</f>
        <v/>
      </c>
      <c r="J100" s="17" t="str">
        <f ca="1">IF(ROW()&gt;steps+10,"",IF($I100=$H100,E100,INDEX(INDIRECT(range),$H100,1)+ROUND(($B100-$H100)/($I100-$H100)*(INDEX(INDIRECT(range),$I100,1)-INDEX(INDIRECT(range),$H100,1)),0)))</f>
        <v/>
      </c>
      <c r="K100" s="17" t="str">
        <f ca="1">IF(ROW()&gt;steps+10,"",IF($I100=$H100,F100,INDEX(INDIRECT(range),$H100,2)+ROUND(($B100-$H100)/($I100-$H100)*(INDEX(INDIRECT(range),$I100,2)-INDEX(INDIRECT(range),$H100,2)),0)))</f>
        <v/>
      </c>
      <c r="L100" s="17" t="str">
        <f ca="1">IF(ROW()&gt;steps+10,"",IF($I100=$H100,G100,INDEX(INDIRECT(range),$H100,3)+ROUND(($B100-$H100)/($I100-$H100)*(INDEX(INDIRECT(range),$I100,3)-INDEX(INDIRECT(range),$H100,3)),0)))</f>
        <v/>
      </c>
      <c r="M100" s="21"/>
      <c r="N100" s="15" t="str">
        <f>IF(ROW()&gt;steps+10,"",getnewcolor(M100))</f>
        <v/>
      </c>
      <c r="O100" s="19" t="str">
        <f>IF(ROW()&gt;steps+10,"",gethexcolor(M100))</f>
        <v/>
      </c>
    </row>
    <row r="101" spans="2:15" x14ac:dyDescent="0.25">
      <c r="B101" s="14" t="str">
        <f>IFERROR(IF(B100+1&gt;steps,"",B100+1),"")</f>
        <v/>
      </c>
      <c r="C101" s="15"/>
      <c r="D101" s="15" t="str">
        <f>IF(ROW()&gt;steps+10,"",gethexcolor(C101))</f>
        <v/>
      </c>
      <c r="E101" s="16" t="str">
        <f>IF(ROW()&gt;steps+10,"",HEX2DEC(LEFT(D101,2)))</f>
        <v/>
      </c>
      <c r="F101" s="16" t="str">
        <f>IF(ROW()&gt;steps+10,"",HEX2DEC(MID(D101,3,2)))</f>
        <v/>
      </c>
      <c r="G101" s="16" t="str">
        <f>IF(ROW()&gt;steps+10,"",HEX2DEC(RIGHT(D101,2)))</f>
        <v/>
      </c>
      <c r="H101" s="16" t="str">
        <f>IF(ROW()&gt;steps+10,"",nonMatch(D101,TRUE))</f>
        <v/>
      </c>
      <c r="I101" s="16" t="str">
        <f>IF(ROW()&gt;steps+10,"",nonMatch(D101,FALSE))</f>
        <v/>
      </c>
      <c r="J101" s="17" t="str">
        <f ca="1">IF(ROW()&gt;steps+10,"",IF($I101=$H101,E101,INDEX(INDIRECT(range),$H101,1)+ROUND(($B101-$H101)/($I101-$H101)*(INDEX(INDIRECT(range),$I101,1)-INDEX(INDIRECT(range),$H101,1)),0)))</f>
        <v/>
      </c>
      <c r="K101" s="17" t="str">
        <f ca="1">IF(ROW()&gt;steps+10,"",IF($I101=$H101,F101,INDEX(INDIRECT(range),$H101,2)+ROUND(($B101-$H101)/($I101-$H101)*(INDEX(INDIRECT(range),$I101,2)-INDEX(INDIRECT(range),$H101,2)),0)))</f>
        <v/>
      </c>
      <c r="L101" s="17" t="str">
        <f ca="1">IF(ROW()&gt;steps+10,"",IF($I101=$H101,G101,INDEX(INDIRECT(range),$H101,3)+ROUND(($B101-$H101)/($I101-$H101)*(INDEX(INDIRECT(range),$I101,3)-INDEX(INDIRECT(range),$H101,3)),0)))</f>
        <v/>
      </c>
      <c r="M101" s="21"/>
      <c r="N101" s="15" t="str">
        <f>IF(ROW()&gt;steps+10,"",getnewcolor(M101))</f>
        <v/>
      </c>
      <c r="O101" s="19" t="str">
        <f>IF(ROW()&gt;steps+10,"",gethexcolor(M101))</f>
        <v/>
      </c>
    </row>
    <row r="102" spans="2:15" x14ac:dyDescent="0.25">
      <c r="B102" s="14" t="str">
        <f>IFERROR(IF(B101+1&gt;steps,"",B101+1),"")</f>
        <v/>
      </c>
      <c r="C102" s="15"/>
      <c r="D102" s="15" t="str">
        <f>IF(ROW()&gt;steps+10,"",gethexcolor(C102))</f>
        <v/>
      </c>
      <c r="E102" s="16" t="str">
        <f>IF(ROW()&gt;steps+10,"",HEX2DEC(LEFT(D102,2)))</f>
        <v/>
      </c>
      <c r="F102" s="16" t="str">
        <f>IF(ROW()&gt;steps+10,"",HEX2DEC(MID(D102,3,2)))</f>
        <v/>
      </c>
      <c r="G102" s="16" t="str">
        <f>IF(ROW()&gt;steps+10,"",HEX2DEC(RIGHT(D102,2)))</f>
        <v/>
      </c>
      <c r="H102" s="16" t="str">
        <f>IF(ROW()&gt;steps+10,"",nonMatch(D102,TRUE))</f>
        <v/>
      </c>
      <c r="I102" s="16" t="str">
        <f>IF(ROW()&gt;steps+10,"",nonMatch(D102,FALSE))</f>
        <v/>
      </c>
      <c r="J102" s="17" t="str">
        <f ca="1">IF(ROW()&gt;steps+10,"",IF($I102=$H102,E102,INDEX(INDIRECT(range),$H102,1)+ROUND(($B102-$H102)/($I102-$H102)*(INDEX(INDIRECT(range),$I102,1)-INDEX(INDIRECT(range),$H102,1)),0)))</f>
        <v/>
      </c>
      <c r="K102" s="17" t="str">
        <f ca="1">IF(ROW()&gt;steps+10,"",IF($I102=$H102,F102,INDEX(INDIRECT(range),$H102,2)+ROUND(($B102-$H102)/($I102-$H102)*(INDEX(INDIRECT(range),$I102,2)-INDEX(INDIRECT(range),$H102,2)),0)))</f>
        <v/>
      </c>
      <c r="L102" s="17" t="str">
        <f ca="1">IF(ROW()&gt;steps+10,"",IF($I102=$H102,G102,INDEX(INDIRECT(range),$H102,3)+ROUND(($B102-$H102)/($I102-$H102)*(INDEX(INDIRECT(range),$I102,3)-INDEX(INDIRECT(range),$H102,3)),0)))</f>
        <v/>
      </c>
      <c r="M102" s="21"/>
      <c r="N102" s="15" t="str">
        <f>IF(ROW()&gt;steps+10,"",getnewcolor(M102))</f>
        <v/>
      </c>
      <c r="O102" s="19" t="str">
        <f>IF(ROW()&gt;steps+10,"",gethexcolor(M102))</f>
        <v/>
      </c>
    </row>
    <row r="103" spans="2:15" x14ac:dyDescent="0.25">
      <c r="B103" s="14" t="str">
        <f>IFERROR(IF(B102+1&gt;steps,"",B102+1),"")</f>
        <v/>
      </c>
      <c r="C103" s="15"/>
      <c r="D103" s="15" t="str">
        <f>IF(ROW()&gt;steps+10,"",gethexcolor(C103))</f>
        <v/>
      </c>
      <c r="E103" s="16" t="str">
        <f>IF(ROW()&gt;steps+10,"",HEX2DEC(LEFT(D103,2)))</f>
        <v/>
      </c>
      <c r="F103" s="16" t="str">
        <f>IF(ROW()&gt;steps+10,"",HEX2DEC(MID(D103,3,2)))</f>
        <v/>
      </c>
      <c r="G103" s="16" t="str">
        <f>IF(ROW()&gt;steps+10,"",HEX2DEC(RIGHT(D103,2)))</f>
        <v/>
      </c>
      <c r="H103" s="16" t="str">
        <f>IF(ROW()&gt;steps+10,"",nonMatch(D103,TRUE))</f>
        <v/>
      </c>
      <c r="I103" s="16" t="str">
        <f>IF(ROW()&gt;steps+10,"",nonMatch(D103,FALSE))</f>
        <v/>
      </c>
      <c r="J103" s="17" t="str">
        <f ca="1">IF(ROW()&gt;steps+10,"",IF($I103=$H103,E103,INDEX(INDIRECT(range),$H103,1)+ROUND(($B103-$H103)/($I103-$H103)*(INDEX(INDIRECT(range),$I103,1)-INDEX(INDIRECT(range),$H103,1)),0)))</f>
        <v/>
      </c>
      <c r="K103" s="17" t="str">
        <f ca="1">IF(ROW()&gt;steps+10,"",IF($I103=$H103,F103,INDEX(INDIRECT(range),$H103,2)+ROUND(($B103-$H103)/($I103-$H103)*(INDEX(INDIRECT(range),$I103,2)-INDEX(INDIRECT(range),$H103,2)),0)))</f>
        <v/>
      </c>
      <c r="L103" s="17" t="str">
        <f ca="1">IF(ROW()&gt;steps+10,"",IF($I103=$H103,G103,INDEX(INDIRECT(range),$H103,3)+ROUND(($B103-$H103)/($I103-$H103)*(INDEX(INDIRECT(range),$I103,3)-INDEX(INDIRECT(range),$H103,3)),0)))</f>
        <v/>
      </c>
      <c r="M103" s="21"/>
      <c r="N103" s="15" t="str">
        <f>IF(ROW()&gt;steps+10,"",getnewcolor(M103))</f>
        <v/>
      </c>
      <c r="O103" s="19" t="str">
        <f>IF(ROW()&gt;steps+10,"",gethexcolor(M103))</f>
        <v/>
      </c>
    </row>
    <row r="104" spans="2:15" x14ac:dyDescent="0.25">
      <c r="B104" s="14" t="str">
        <f>IFERROR(IF(B103+1&gt;steps,"",B103+1),"")</f>
        <v/>
      </c>
      <c r="C104" s="15"/>
      <c r="D104" s="15" t="str">
        <f>IF(ROW()&gt;steps+10,"",gethexcolor(C104))</f>
        <v/>
      </c>
      <c r="E104" s="16" t="str">
        <f>IF(ROW()&gt;steps+10,"",HEX2DEC(LEFT(D104,2)))</f>
        <v/>
      </c>
      <c r="F104" s="16" t="str">
        <f>IF(ROW()&gt;steps+10,"",HEX2DEC(MID(D104,3,2)))</f>
        <v/>
      </c>
      <c r="G104" s="16" t="str">
        <f>IF(ROW()&gt;steps+10,"",HEX2DEC(RIGHT(D104,2)))</f>
        <v/>
      </c>
      <c r="H104" s="16" t="str">
        <f>IF(ROW()&gt;steps+10,"",nonMatch(D104,TRUE))</f>
        <v/>
      </c>
      <c r="I104" s="16" t="str">
        <f>IF(ROW()&gt;steps+10,"",nonMatch(D104,FALSE))</f>
        <v/>
      </c>
      <c r="J104" s="17" t="str">
        <f ca="1">IF(ROW()&gt;steps+10,"",IF($I104=$H104,E104,INDEX(INDIRECT(range),$H104,1)+ROUND(($B104-$H104)/($I104-$H104)*(INDEX(INDIRECT(range),$I104,1)-INDEX(INDIRECT(range),$H104,1)),0)))</f>
        <v/>
      </c>
      <c r="K104" s="17" t="str">
        <f ca="1">IF(ROW()&gt;steps+10,"",IF($I104=$H104,F104,INDEX(INDIRECT(range),$H104,2)+ROUND(($B104-$H104)/($I104-$H104)*(INDEX(INDIRECT(range),$I104,2)-INDEX(INDIRECT(range),$H104,2)),0)))</f>
        <v/>
      </c>
      <c r="L104" s="17" t="str">
        <f ca="1">IF(ROW()&gt;steps+10,"",IF($I104=$H104,G104,INDEX(INDIRECT(range),$H104,3)+ROUND(($B104-$H104)/($I104-$H104)*(INDEX(INDIRECT(range),$I104,3)-INDEX(INDIRECT(range),$H104,3)),0)))</f>
        <v/>
      </c>
      <c r="M104" s="21"/>
      <c r="N104" s="15" t="str">
        <f>IF(ROW()&gt;steps+10,"",getnewcolor(M104))</f>
        <v/>
      </c>
      <c r="O104" s="19" t="str">
        <f>IF(ROW()&gt;steps+10,"",gethexcolor(M104))</f>
        <v/>
      </c>
    </row>
    <row r="105" spans="2:15" x14ac:dyDescent="0.25">
      <c r="B105" s="14" t="str">
        <f>IFERROR(IF(B104+1&gt;steps,"",B104+1),"")</f>
        <v/>
      </c>
      <c r="C105" s="15"/>
      <c r="D105" s="15" t="str">
        <f>IF(ROW()&gt;steps+10,"",gethexcolor(C105))</f>
        <v/>
      </c>
      <c r="E105" s="16" t="str">
        <f>IF(ROW()&gt;steps+10,"",HEX2DEC(LEFT(D105,2)))</f>
        <v/>
      </c>
      <c r="F105" s="16" t="str">
        <f>IF(ROW()&gt;steps+10,"",HEX2DEC(MID(D105,3,2)))</f>
        <v/>
      </c>
      <c r="G105" s="16" t="str">
        <f>IF(ROW()&gt;steps+10,"",HEX2DEC(RIGHT(D105,2)))</f>
        <v/>
      </c>
      <c r="H105" s="16" t="str">
        <f>IF(ROW()&gt;steps+10,"",nonMatch(D105,TRUE))</f>
        <v/>
      </c>
      <c r="I105" s="16" t="str">
        <f>IF(ROW()&gt;steps+10,"",nonMatch(D105,FALSE))</f>
        <v/>
      </c>
      <c r="J105" s="17" t="str">
        <f ca="1">IF(ROW()&gt;steps+10,"",IF($I105=$H105,E105,INDEX(INDIRECT(range),$H105,1)+ROUND(($B105-$H105)/($I105-$H105)*(INDEX(INDIRECT(range),$I105,1)-INDEX(INDIRECT(range),$H105,1)),0)))</f>
        <v/>
      </c>
      <c r="K105" s="17" t="str">
        <f ca="1">IF(ROW()&gt;steps+10,"",IF($I105=$H105,F105,INDEX(INDIRECT(range),$H105,2)+ROUND(($B105-$H105)/($I105-$H105)*(INDEX(INDIRECT(range),$I105,2)-INDEX(INDIRECT(range),$H105,2)),0)))</f>
        <v/>
      </c>
      <c r="L105" s="17" t="str">
        <f ca="1">IF(ROW()&gt;steps+10,"",IF($I105=$H105,G105,INDEX(INDIRECT(range),$H105,3)+ROUND(($B105-$H105)/($I105-$H105)*(INDEX(INDIRECT(range),$I105,3)-INDEX(INDIRECT(range),$H105,3)),0)))</f>
        <v/>
      </c>
      <c r="M105" s="21"/>
      <c r="N105" s="15" t="str">
        <f>IF(ROW()&gt;steps+10,"",getnewcolor(M105))</f>
        <v/>
      </c>
      <c r="O105" s="19" t="str">
        <f>IF(ROW()&gt;steps+10,"",gethexcolor(M105))</f>
        <v/>
      </c>
    </row>
    <row r="106" spans="2:15" x14ac:dyDescent="0.25">
      <c r="B106" s="14" t="str">
        <f>IFERROR(IF(B105+1&gt;steps,"",B105+1),"")</f>
        <v/>
      </c>
      <c r="C106" s="15"/>
      <c r="D106" s="15" t="str">
        <f>IF(ROW()&gt;steps+10,"",gethexcolor(C106))</f>
        <v/>
      </c>
      <c r="E106" s="16" t="str">
        <f>IF(ROW()&gt;steps+10,"",HEX2DEC(LEFT(D106,2)))</f>
        <v/>
      </c>
      <c r="F106" s="16" t="str">
        <f>IF(ROW()&gt;steps+10,"",HEX2DEC(MID(D106,3,2)))</f>
        <v/>
      </c>
      <c r="G106" s="16" t="str">
        <f>IF(ROW()&gt;steps+10,"",HEX2DEC(RIGHT(D106,2)))</f>
        <v/>
      </c>
      <c r="H106" s="16" t="str">
        <f>IF(ROW()&gt;steps+10,"",nonMatch(D106,TRUE))</f>
        <v/>
      </c>
      <c r="I106" s="16" t="str">
        <f>IF(ROW()&gt;steps+10,"",nonMatch(D106,FALSE))</f>
        <v/>
      </c>
      <c r="J106" s="17" t="str">
        <f ca="1">IF(ROW()&gt;steps+10,"",IF($I106=$H106,E106,INDEX(INDIRECT(range),$H106,1)+ROUND(($B106-$H106)/($I106-$H106)*(INDEX(INDIRECT(range),$I106,1)-INDEX(INDIRECT(range),$H106,1)),0)))</f>
        <v/>
      </c>
      <c r="K106" s="17" t="str">
        <f ca="1">IF(ROW()&gt;steps+10,"",IF($I106=$H106,F106,INDEX(INDIRECT(range),$H106,2)+ROUND(($B106-$H106)/($I106-$H106)*(INDEX(INDIRECT(range),$I106,2)-INDEX(INDIRECT(range),$H106,2)),0)))</f>
        <v/>
      </c>
      <c r="L106" s="17" t="str">
        <f ca="1">IF(ROW()&gt;steps+10,"",IF($I106=$H106,G106,INDEX(INDIRECT(range),$H106,3)+ROUND(($B106-$H106)/($I106-$H106)*(INDEX(INDIRECT(range),$I106,3)-INDEX(INDIRECT(range),$H106,3)),0)))</f>
        <v/>
      </c>
      <c r="M106" s="21"/>
      <c r="N106" s="15" t="str">
        <f>IF(ROW()&gt;steps+10,"",getnewcolor(M106))</f>
        <v/>
      </c>
      <c r="O106" s="19" t="str">
        <f>IF(ROW()&gt;steps+10,"",gethexcolor(M106))</f>
        <v/>
      </c>
    </row>
    <row r="107" spans="2:15" x14ac:dyDescent="0.25">
      <c r="B107" s="14" t="str">
        <f>IFERROR(IF(B106+1&gt;steps,"",B106+1),"")</f>
        <v/>
      </c>
      <c r="C107" s="15"/>
      <c r="D107" s="15" t="str">
        <f>IF(ROW()&gt;steps+10,"",gethexcolor(C107))</f>
        <v/>
      </c>
      <c r="E107" s="16" t="str">
        <f>IF(ROW()&gt;steps+10,"",HEX2DEC(LEFT(D107,2)))</f>
        <v/>
      </c>
      <c r="F107" s="16" t="str">
        <f>IF(ROW()&gt;steps+10,"",HEX2DEC(MID(D107,3,2)))</f>
        <v/>
      </c>
      <c r="G107" s="16" t="str">
        <f>IF(ROW()&gt;steps+10,"",HEX2DEC(RIGHT(D107,2)))</f>
        <v/>
      </c>
      <c r="H107" s="16" t="str">
        <f>IF(ROW()&gt;steps+10,"",nonMatch(D107,TRUE))</f>
        <v/>
      </c>
      <c r="I107" s="16" t="str">
        <f>IF(ROW()&gt;steps+10,"",nonMatch(D107,FALSE))</f>
        <v/>
      </c>
      <c r="J107" s="17" t="str">
        <f ca="1">IF(ROW()&gt;steps+10,"",IF($I107=$H107,E107,INDEX(INDIRECT(range),$H107,1)+ROUND(($B107-$H107)/($I107-$H107)*(INDEX(INDIRECT(range),$I107,1)-INDEX(INDIRECT(range),$H107,1)),0)))</f>
        <v/>
      </c>
      <c r="K107" s="17" t="str">
        <f ca="1">IF(ROW()&gt;steps+10,"",IF($I107=$H107,F107,INDEX(INDIRECT(range),$H107,2)+ROUND(($B107-$H107)/($I107-$H107)*(INDEX(INDIRECT(range),$I107,2)-INDEX(INDIRECT(range),$H107,2)),0)))</f>
        <v/>
      </c>
      <c r="L107" s="17" t="str">
        <f ca="1">IF(ROW()&gt;steps+10,"",IF($I107=$H107,G107,INDEX(INDIRECT(range),$H107,3)+ROUND(($B107-$H107)/($I107-$H107)*(INDEX(INDIRECT(range),$I107,3)-INDEX(INDIRECT(range),$H107,3)),0)))</f>
        <v/>
      </c>
      <c r="M107" s="21"/>
      <c r="N107" s="15" t="str">
        <f>IF(ROW()&gt;steps+10,"",getnewcolor(M107))</f>
        <v/>
      </c>
      <c r="O107" s="19" t="str">
        <f>IF(ROW()&gt;steps+10,"",gethexcolor(M107))</f>
        <v/>
      </c>
    </row>
    <row r="108" spans="2:15" x14ac:dyDescent="0.25">
      <c r="B108" s="14" t="str">
        <f>IFERROR(IF(B107+1&gt;steps,"",B107+1),"")</f>
        <v/>
      </c>
      <c r="C108" s="15"/>
      <c r="D108" s="15" t="str">
        <f>IF(ROW()&gt;steps+10,"",gethexcolor(C108))</f>
        <v/>
      </c>
      <c r="E108" s="16" t="str">
        <f>IF(ROW()&gt;steps+10,"",HEX2DEC(LEFT(D108,2)))</f>
        <v/>
      </c>
      <c r="F108" s="16" t="str">
        <f>IF(ROW()&gt;steps+10,"",HEX2DEC(MID(D108,3,2)))</f>
        <v/>
      </c>
      <c r="G108" s="16" t="str">
        <f>IF(ROW()&gt;steps+10,"",HEX2DEC(RIGHT(D108,2)))</f>
        <v/>
      </c>
      <c r="H108" s="16" t="str">
        <f>IF(ROW()&gt;steps+10,"",nonMatch(D108,TRUE))</f>
        <v/>
      </c>
      <c r="I108" s="16" t="str">
        <f>IF(ROW()&gt;steps+10,"",nonMatch(D108,FALSE))</f>
        <v/>
      </c>
      <c r="J108" s="17" t="str">
        <f ca="1">IF(ROW()&gt;steps+10,"",IF($I108=$H108,E108,INDEX(INDIRECT(range),$H108,1)+ROUND(($B108-$H108)/($I108-$H108)*(INDEX(INDIRECT(range),$I108,1)-INDEX(INDIRECT(range),$H108,1)),0)))</f>
        <v/>
      </c>
      <c r="K108" s="17" t="str">
        <f ca="1">IF(ROW()&gt;steps+10,"",IF($I108=$H108,F108,INDEX(INDIRECT(range),$H108,2)+ROUND(($B108-$H108)/($I108-$H108)*(INDEX(INDIRECT(range),$I108,2)-INDEX(INDIRECT(range),$H108,2)),0)))</f>
        <v/>
      </c>
      <c r="L108" s="17" t="str">
        <f ca="1">IF(ROW()&gt;steps+10,"",IF($I108=$H108,G108,INDEX(INDIRECT(range),$H108,3)+ROUND(($B108-$H108)/($I108-$H108)*(INDEX(INDIRECT(range),$I108,3)-INDEX(INDIRECT(range),$H108,3)),0)))</f>
        <v/>
      </c>
      <c r="M108" s="21"/>
      <c r="N108" s="15" t="str">
        <f>IF(ROW()&gt;steps+10,"",getnewcolor(M108))</f>
        <v/>
      </c>
      <c r="O108" s="19" t="str">
        <f>IF(ROW()&gt;steps+10,"",gethexcolor(M108))</f>
        <v/>
      </c>
    </row>
    <row r="109" spans="2:15" x14ac:dyDescent="0.25">
      <c r="B109" s="14" t="str">
        <f>IFERROR(IF(B108+1&gt;steps,"",B108+1),"")</f>
        <v/>
      </c>
      <c r="C109" s="15"/>
      <c r="D109" s="15" t="str">
        <f>IF(ROW()&gt;steps+10,"",gethexcolor(C109))</f>
        <v/>
      </c>
      <c r="E109" s="16" t="str">
        <f>IF(ROW()&gt;steps+10,"",HEX2DEC(LEFT(D109,2)))</f>
        <v/>
      </c>
      <c r="F109" s="16" t="str">
        <f>IF(ROW()&gt;steps+10,"",HEX2DEC(MID(D109,3,2)))</f>
        <v/>
      </c>
      <c r="G109" s="16" t="str">
        <f>IF(ROW()&gt;steps+10,"",HEX2DEC(RIGHT(D109,2)))</f>
        <v/>
      </c>
      <c r="H109" s="16" t="str">
        <f>IF(ROW()&gt;steps+10,"",nonMatch(D109,TRUE))</f>
        <v/>
      </c>
      <c r="I109" s="16" t="str">
        <f>IF(ROW()&gt;steps+10,"",nonMatch(D109,FALSE))</f>
        <v/>
      </c>
      <c r="J109" s="17" t="str">
        <f ca="1">IF(ROW()&gt;steps+10,"",IF($I109=$H109,E109,INDEX(INDIRECT(range),$H109,1)+ROUND(($B109-$H109)/($I109-$H109)*(INDEX(INDIRECT(range),$I109,1)-INDEX(INDIRECT(range),$H109,1)),0)))</f>
        <v/>
      </c>
      <c r="K109" s="17" t="str">
        <f ca="1">IF(ROW()&gt;steps+10,"",IF($I109=$H109,F109,INDEX(INDIRECT(range),$H109,2)+ROUND(($B109-$H109)/($I109-$H109)*(INDEX(INDIRECT(range),$I109,2)-INDEX(INDIRECT(range),$H109,2)),0)))</f>
        <v/>
      </c>
      <c r="L109" s="17" t="str">
        <f ca="1">IF(ROW()&gt;steps+10,"",IF($I109=$H109,G109,INDEX(INDIRECT(range),$H109,3)+ROUND(($B109-$H109)/($I109-$H109)*(INDEX(INDIRECT(range),$I109,3)-INDEX(INDIRECT(range),$H109,3)),0)))</f>
        <v/>
      </c>
      <c r="M109" s="21"/>
      <c r="N109" s="15" t="str">
        <f>IF(ROW()&gt;steps+10,"",getnewcolor(M109))</f>
        <v/>
      </c>
      <c r="O109" s="19" t="str">
        <f>IF(ROW()&gt;steps+10,"",gethexcolor(M109))</f>
        <v/>
      </c>
    </row>
    <row r="110" spans="2:15" ht="15.75" thickBot="1" x14ac:dyDescent="0.3">
      <c r="B110" s="72" t="str">
        <f>IFERROR(IF(B109+1&gt;steps,"",B109+1),"")</f>
        <v/>
      </c>
      <c r="C110" s="79"/>
      <c r="D110" s="73" t="str">
        <f>IF(ROW()&gt;steps+10,"",gethexcolor(C110))</f>
        <v/>
      </c>
      <c r="E110" s="75" t="str">
        <f>IF(ROW()&gt;steps+10,"",HEX2DEC(LEFT(D110,2)))</f>
        <v/>
      </c>
      <c r="F110" s="75" t="str">
        <f>IF(ROW()&gt;steps+10,"",HEX2DEC(MID(D110,3,2)))</f>
        <v/>
      </c>
      <c r="G110" s="75" t="str">
        <f>IF(ROW()&gt;steps+10,"",HEX2DEC(RIGHT(D110,2)))</f>
        <v/>
      </c>
      <c r="H110" s="75" t="str">
        <f>IF(ROW()&gt;steps+10,"",nonMatch(D110,TRUE))</f>
        <v/>
      </c>
      <c r="I110" s="75" t="str">
        <f>IF(ROW()&gt;steps+10,"",nonMatch(D110,FALSE))</f>
        <v/>
      </c>
      <c r="J110" s="76" t="str">
        <f ca="1">IF(ROW()&gt;steps+10,"",IF($I110=$H110,E110,INDEX(INDIRECT(range),$H110,1)+ROUND(($B110-$H110)/($I110-$H110)*(INDEX(INDIRECT(range),$I110,1)-INDEX(INDIRECT(range),$H110,1)),0)))</f>
        <v/>
      </c>
      <c r="K110" s="76" t="str">
        <f ca="1">IF(ROW()&gt;steps+10,"",IF($I110=$H110,F110,INDEX(INDIRECT(range),$H110,2)+ROUND(($B110-$H110)/($I110-$H110)*(INDEX(INDIRECT(range),$I110,2)-INDEX(INDIRECT(range),$H110,2)),0)))</f>
        <v/>
      </c>
      <c r="L110" s="76" t="str">
        <f ca="1">IF(ROW()&gt;steps+10,"",IF($I110=$H110,G110,INDEX(INDIRECT(range),$H110,3)+ROUND(($B110-$H110)/($I110-$H110)*(INDEX(INDIRECT(range),$I110,3)-INDEX(INDIRECT(range),$H110,3)),0)))</f>
        <v/>
      </c>
      <c r="M110" s="79"/>
      <c r="N110" s="73" t="str">
        <f>IF(ROW()&gt;steps+10,"",getnewcolor(M110))</f>
        <v/>
      </c>
      <c r="O110" s="74" t="str">
        <f>IF(ROW()&gt;steps+10,"",gethexcolor(M110))</f>
        <v/>
      </c>
    </row>
  </sheetData>
  <pageMargins left="0.7" right="0.7" top="0.75" bottom="0.75" header="0.3" footer="0.3"/>
  <pageSetup orientation="portrait" r:id="rId1"/>
  <drawing r:id="rId2"/>
  <legacyDrawing r:id="rId3"/>
  <controls>
    <mc:AlternateContent xmlns:mc="http://schemas.openxmlformats.org/markup-compatibility/2006">
      <mc:Choice Requires="x14">
        <control shapeId="2049" r:id="rId4" name="CommandButton1">
          <controlPr defaultSize="0" autoLine="0" autoPict="0" r:id="rId5">
            <anchor moveWithCells="1">
              <from>
                <xdr:col>4</xdr:col>
                <xdr:colOff>400050</xdr:colOff>
                <xdr:row>1</xdr:row>
                <xdr:rowOff>85725</xdr:rowOff>
              </from>
              <to>
                <xdr:col>8</xdr:col>
                <xdr:colOff>161925</xdr:colOff>
                <xdr:row>4</xdr:row>
                <xdr:rowOff>180975</xdr:rowOff>
              </to>
            </anchor>
          </controlPr>
        </control>
      </mc:Choice>
      <mc:Fallback>
        <control shapeId="2049"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Instructions</vt:lpstr>
      <vt:lpstr>3 Color Scale</vt:lpstr>
      <vt:lpstr>col</vt:lpstr>
      <vt:lpstr>range</vt:lpstr>
      <vt:lpstr>RColorVectorCode</vt:lpstr>
      <vt:lpstr>steps</vt:lpstr>
    </vt:vector>
  </TitlesOfParts>
  <Company>The Hanover Insurance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mgn123</dc:creator>
  <cp:lastModifiedBy>Mike Nute</cp:lastModifiedBy>
  <dcterms:created xsi:type="dcterms:W3CDTF">2011-11-14T16:02:00Z</dcterms:created>
  <dcterms:modified xsi:type="dcterms:W3CDTF">2014-01-30T04:31:08Z</dcterms:modified>
</cp:coreProperties>
</file>