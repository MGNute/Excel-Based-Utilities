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105" windowWidth="19035" windowHeight="11760"/>
  </bookViews>
  <sheets>
    <sheet name="Instructions" sheetId="3" r:id="rId1"/>
    <sheet name="3 Color Scale" sheetId="2" r:id="rId2"/>
  </sheets>
  <functionGroups builtInGroupCount="17"/>
  <definedNames>
    <definedName name="col">'3 Color Scale'!$C$4</definedName>
    <definedName name="longColor">#REF!</definedName>
    <definedName name="range">'3 Color Scale'!$C$3</definedName>
    <definedName name="RColorVectorCode">'3 Color Scale'!$D$8</definedName>
    <definedName name="rFormula">#REF!</definedName>
    <definedName name="steps">'3 Color Scale'!$C$2</definedName>
    <definedName name="Target">#REF!</definedName>
    <definedName name="tintshade">#REF!</definedName>
  </definedNames>
  <calcPr calcId="145621"/>
</workbook>
</file>

<file path=xl/calcChain.xml><?xml version="1.0" encoding="utf-8"?>
<calcChain xmlns="http://schemas.openxmlformats.org/spreadsheetml/2006/main">
  <c r="B13" i="2" l="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L110" i="2"/>
  <c r="K110" i="2"/>
  <c r="J110" i="2"/>
  <c r="I110" i="2"/>
  <c r="H110" i="2"/>
  <c r="G110" i="2"/>
  <c r="F110" i="2"/>
  <c r="E110" i="2"/>
  <c r="D110" i="2"/>
  <c r="L109" i="2"/>
  <c r="K109" i="2"/>
  <c r="J109" i="2"/>
  <c r="I109" i="2"/>
  <c r="H109" i="2"/>
  <c r="G109" i="2"/>
  <c r="F109" i="2"/>
  <c r="E109" i="2"/>
  <c r="D109" i="2"/>
  <c r="L108" i="2"/>
  <c r="K108" i="2"/>
  <c r="J108" i="2"/>
  <c r="I108" i="2"/>
  <c r="H108" i="2"/>
  <c r="G108" i="2"/>
  <c r="F108" i="2"/>
  <c r="E108" i="2"/>
  <c r="D108" i="2"/>
  <c r="L107" i="2"/>
  <c r="K107" i="2"/>
  <c r="J107" i="2"/>
  <c r="I107" i="2"/>
  <c r="H107" i="2"/>
  <c r="G107" i="2"/>
  <c r="F107" i="2"/>
  <c r="E107" i="2"/>
  <c r="D107" i="2"/>
  <c r="L106" i="2"/>
  <c r="K106" i="2"/>
  <c r="J106" i="2"/>
  <c r="I106" i="2"/>
  <c r="H106" i="2"/>
  <c r="G106" i="2"/>
  <c r="F106" i="2"/>
  <c r="E106" i="2"/>
  <c r="D106" i="2"/>
  <c r="L105" i="2"/>
  <c r="K105" i="2"/>
  <c r="J105" i="2"/>
  <c r="I105" i="2"/>
  <c r="H105" i="2"/>
  <c r="G105" i="2"/>
  <c r="F105" i="2"/>
  <c r="E105" i="2"/>
  <c r="D105" i="2"/>
  <c r="L104" i="2"/>
  <c r="K104" i="2"/>
  <c r="J104" i="2"/>
  <c r="I104" i="2"/>
  <c r="H104" i="2"/>
  <c r="G104" i="2"/>
  <c r="F104" i="2"/>
  <c r="E104" i="2"/>
  <c r="D104" i="2"/>
  <c r="L103" i="2"/>
  <c r="K103" i="2"/>
  <c r="J103" i="2"/>
  <c r="I103" i="2"/>
  <c r="H103" i="2"/>
  <c r="G103" i="2"/>
  <c r="F103" i="2"/>
  <c r="E103" i="2"/>
  <c r="D103" i="2"/>
  <c r="L102" i="2"/>
  <c r="K102" i="2"/>
  <c r="J102" i="2"/>
  <c r="I102" i="2"/>
  <c r="H102" i="2"/>
  <c r="G102" i="2"/>
  <c r="F102" i="2"/>
  <c r="E102" i="2"/>
  <c r="D102" i="2"/>
  <c r="L101" i="2"/>
  <c r="K101" i="2"/>
  <c r="J101" i="2"/>
  <c r="I101" i="2"/>
  <c r="H101" i="2"/>
  <c r="G101" i="2"/>
  <c r="F101" i="2"/>
  <c r="E101" i="2"/>
  <c r="D101" i="2"/>
  <c r="L100" i="2"/>
  <c r="K100" i="2"/>
  <c r="J100" i="2"/>
  <c r="I100" i="2"/>
  <c r="H100" i="2"/>
  <c r="G100" i="2"/>
  <c r="F100" i="2"/>
  <c r="E100" i="2"/>
  <c r="D100" i="2"/>
  <c r="L99" i="2"/>
  <c r="K99" i="2"/>
  <c r="J99" i="2"/>
  <c r="I99" i="2"/>
  <c r="H99" i="2"/>
  <c r="G99" i="2"/>
  <c r="F99" i="2"/>
  <c r="E99" i="2"/>
  <c r="D99" i="2"/>
  <c r="L98" i="2"/>
  <c r="K98" i="2"/>
  <c r="J98" i="2"/>
  <c r="I98" i="2"/>
  <c r="H98" i="2"/>
  <c r="G98" i="2"/>
  <c r="F98" i="2"/>
  <c r="E98" i="2"/>
  <c r="D98" i="2"/>
  <c r="L97" i="2"/>
  <c r="K97" i="2"/>
  <c r="J97" i="2"/>
  <c r="I97" i="2"/>
  <c r="H97" i="2"/>
  <c r="G97" i="2"/>
  <c r="F97" i="2"/>
  <c r="E97" i="2"/>
  <c r="D97" i="2"/>
  <c r="L96" i="2"/>
  <c r="K96" i="2"/>
  <c r="J96" i="2"/>
  <c r="I96" i="2"/>
  <c r="H96" i="2"/>
  <c r="G96" i="2"/>
  <c r="F96" i="2"/>
  <c r="E96" i="2"/>
  <c r="D96" i="2"/>
  <c r="L95" i="2"/>
  <c r="K95" i="2"/>
  <c r="J95" i="2"/>
  <c r="I95" i="2"/>
  <c r="H95" i="2"/>
  <c r="G95" i="2"/>
  <c r="F95" i="2"/>
  <c r="E95" i="2"/>
  <c r="D95" i="2"/>
  <c r="L94" i="2"/>
  <c r="K94" i="2"/>
  <c r="J94" i="2"/>
  <c r="I94" i="2"/>
  <c r="H94" i="2"/>
  <c r="G94" i="2"/>
  <c r="F94" i="2"/>
  <c r="E94" i="2"/>
  <c r="D94" i="2"/>
  <c r="L93" i="2"/>
  <c r="K93" i="2"/>
  <c r="J93" i="2"/>
  <c r="I93" i="2"/>
  <c r="H93" i="2"/>
  <c r="G93" i="2"/>
  <c r="F93" i="2"/>
  <c r="E93" i="2"/>
  <c r="D93" i="2"/>
  <c r="L92" i="2"/>
  <c r="K92" i="2"/>
  <c r="J92" i="2"/>
  <c r="I92" i="2"/>
  <c r="H92" i="2"/>
  <c r="G92" i="2"/>
  <c r="F92" i="2"/>
  <c r="E92" i="2"/>
  <c r="D92" i="2"/>
  <c r="L91" i="2"/>
  <c r="K91" i="2"/>
  <c r="J91" i="2"/>
  <c r="I91" i="2"/>
  <c r="H91" i="2"/>
  <c r="G91" i="2"/>
  <c r="F91" i="2"/>
  <c r="E91" i="2"/>
  <c r="D91" i="2"/>
  <c r="L90" i="2"/>
  <c r="K90" i="2"/>
  <c r="J90" i="2"/>
  <c r="I90" i="2"/>
  <c r="H90" i="2"/>
  <c r="G90" i="2"/>
  <c r="F90" i="2"/>
  <c r="E90" i="2"/>
  <c r="D90" i="2"/>
  <c r="L89" i="2"/>
  <c r="K89" i="2"/>
  <c r="J89" i="2"/>
  <c r="I89" i="2"/>
  <c r="H89" i="2"/>
  <c r="G89" i="2"/>
  <c r="F89" i="2"/>
  <c r="E89" i="2"/>
  <c r="D89" i="2"/>
  <c r="L88" i="2"/>
  <c r="K88" i="2"/>
  <c r="J88" i="2"/>
  <c r="I88" i="2"/>
  <c r="H88" i="2"/>
  <c r="G88" i="2"/>
  <c r="F88" i="2"/>
  <c r="E88" i="2"/>
  <c r="D88" i="2"/>
  <c r="L87" i="2"/>
  <c r="K87" i="2"/>
  <c r="J87" i="2"/>
  <c r="I87" i="2"/>
  <c r="H87" i="2"/>
  <c r="G87" i="2"/>
  <c r="F87" i="2"/>
  <c r="E87" i="2"/>
  <c r="D87" i="2"/>
  <c r="L86" i="2"/>
  <c r="K86" i="2"/>
  <c r="J86" i="2"/>
  <c r="I86" i="2"/>
  <c r="H86" i="2"/>
  <c r="G86" i="2"/>
  <c r="F86" i="2"/>
  <c r="E86" i="2"/>
  <c r="D86" i="2"/>
  <c r="L85" i="2"/>
  <c r="K85" i="2"/>
  <c r="J85" i="2"/>
  <c r="I85" i="2"/>
  <c r="H85" i="2"/>
  <c r="G85" i="2"/>
  <c r="F85" i="2"/>
  <c r="E85" i="2"/>
  <c r="D85" i="2"/>
  <c r="L84" i="2"/>
  <c r="K84" i="2"/>
  <c r="J84" i="2"/>
  <c r="I84" i="2"/>
  <c r="H84" i="2"/>
  <c r="G84" i="2"/>
  <c r="F84" i="2"/>
  <c r="E84" i="2"/>
  <c r="D84" i="2"/>
  <c r="L83" i="2"/>
  <c r="K83" i="2"/>
  <c r="J83" i="2"/>
  <c r="I83" i="2"/>
  <c r="H83" i="2"/>
  <c r="G83" i="2"/>
  <c r="F83" i="2"/>
  <c r="E83" i="2"/>
  <c r="D83" i="2"/>
  <c r="L82" i="2"/>
  <c r="K82" i="2"/>
  <c r="J82" i="2"/>
  <c r="I82" i="2"/>
  <c r="H82" i="2"/>
  <c r="G82" i="2"/>
  <c r="F82" i="2"/>
  <c r="E82" i="2"/>
  <c r="D82" i="2"/>
  <c r="L81" i="2"/>
  <c r="K81" i="2"/>
  <c r="J81" i="2"/>
  <c r="I81" i="2"/>
  <c r="H81" i="2"/>
  <c r="G81" i="2"/>
  <c r="F81" i="2"/>
  <c r="E81" i="2"/>
  <c r="D81" i="2"/>
  <c r="N79" i="2"/>
  <c r="N77" i="2"/>
  <c r="N75" i="2"/>
  <c r="N73" i="2"/>
  <c r="N71" i="2"/>
  <c r="N69" i="2"/>
  <c r="N67" i="2"/>
  <c r="N65" i="2"/>
  <c r="N63" i="2"/>
  <c r="O80" i="2"/>
  <c r="O78" i="2"/>
  <c r="O76" i="2"/>
  <c r="O74" i="2"/>
  <c r="O72" i="2"/>
  <c r="O70" i="2"/>
  <c r="O68" i="2"/>
  <c r="O66" i="2"/>
  <c r="O64" i="2"/>
  <c r="O62" i="2"/>
  <c r="N80" i="2"/>
  <c r="N78" i="2"/>
  <c r="N76" i="2"/>
  <c r="N74" i="2"/>
  <c r="N72" i="2"/>
  <c r="N70" i="2"/>
  <c r="N68" i="2"/>
  <c r="N66" i="2"/>
  <c r="N64" i="2"/>
  <c r="N62" i="2"/>
  <c r="O79" i="2"/>
  <c r="O77" i="2"/>
  <c r="O75" i="2"/>
  <c r="O73" i="2"/>
  <c r="O71" i="2"/>
  <c r="O69" i="2"/>
  <c r="O67" i="2"/>
  <c r="O65" i="2"/>
  <c r="O63" i="2"/>
  <c r="D78" i="2"/>
  <c r="D74" i="2"/>
  <c r="D80" i="2"/>
  <c r="D76" i="2"/>
  <c r="D72" i="2"/>
  <c r="D79" i="2"/>
  <c r="I78" i="2"/>
  <c r="D75" i="2"/>
  <c r="D71" i="2"/>
  <c r="I80" i="2"/>
  <c r="D77" i="2"/>
  <c r="D73" i="2"/>
  <c r="D70" i="2"/>
  <c r="D66" i="2"/>
  <c r="D62" i="2"/>
  <c r="D68" i="2"/>
  <c r="D64" i="2"/>
  <c r="D69" i="2"/>
  <c r="I68" i="2"/>
  <c r="I70" i="2"/>
  <c r="D67" i="2"/>
  <c r="D65" i="2"/>
  <c r="I66" i="2"/>
  <c r="D63" i="2"/>
  <c r="H67" i="2"/>
  <c r="H70" i="2"/>
  <c r="H66" i="2"/>
  <c r="H62" i="2"/>
  <c r="H68" i="2"/>
  <c r="H64" i="2"/>
  <c r="I69" i="2"/>
  <c r="I67" i="2"/>
  <c r="H69" i="2"/>
  <c r="I64" i="2"/>
  <c r="H65" i="2"/>
  <c r="I65" i="2"/>
  <c r="I62" i="2"/>
  <c r="H63" i="2"/>
  <c r="I63" i="2"/>
  <c r="H78" i="2"/>
  <c r="H74" i="2"/>
  <c r="H80" i="2"/>
  <c r="H76" i="2"/>
  <c r="I76" i="2"/>
  <c r="H72" i="2"/>
  <c r="I72" i="2"/>
  <c r="H79" i="2"/>
  <c r="I79" i="2"/>
  <c r="H75" i="2"/>
  <c r="I75" i="2"/>
  <c r="H71" i="2"/>
  <c r="I71" i="2"/>
  <c r="I74" i="2"/>
  <c r="H77" i="2"/>
  <c r="I77" i="2"/>
  <c r="H73" i="2"/>
  <c r="I73" i="2"/>
  <c r="O14" i="2"/>
  <c r="N19" i="2"/>
  <c r="N18" i="2"/>
  <c r="O13" i="2"/>
  <c r="D14" i="2"/>
  <c r="D16" i="2"/>
  <c r="N57" i="2"/>
  <c r="N49" i="2"/>
  <c r="N41" i="2"/>
  <c r="N33" i="2"/>
  <c r="N25" i="2"/>
  <c r="O60" i="2"/>
  <c r="O52" i="2"/>
  <c r="O44" i="2"/>
  <c r="O36" i="2"/>
  <c r="O28" i="2"/>
  <c r="N56" i="2"/>
  <c r="N48" i="2"/>
  <c r="N40" i="2"/>
  <c r="N32" i="2"/>
  <c r="N24" i="2"/>
  <c r="O59" i="2"/>
  <c r="O51" i="2"/>
  <c r="O43" i="2"/>
  <c r="O35" i="2"/>
  <c r="O27" i="2"/>
  <c r="N21" i="2"/>
  <c r="D50" i="2"/>
  <c r="D34" i="2"/>
  <c r="D60" i="2"/>
  <c r="D44" i="2"/>
  <c r="D37" i="2"/>
  <c r="D33" i="2"/>
  <c r="D51" i="2"/>
  <c r="D23" i="2"/>
  <c r="D21" i="2"/>
  <c r="D22" i="2"/>
  <c r="O18" i="2"/>
  <c r="N15" i="2"/>
  <c r="D15" i="2"/>
  <c r="N61" i="2"/>
  <c r="N45" i="2"/>
  <c r="N29" i="2"/>
  <c r="O56" i="2"/>
  <c r="O40" i="2"/>
  <c r="O24" i="2"/>
  <c r="N52" i="2"/>
  <c r="N36" i="2"/>
  <c r="O55" i="2"/>
  <c r="O39" i="2"/>
  <c r="O23" i="2"/>
  <c r="D42" i="2"/>
  <c r="D36" i="2"/>
  <c r="D28" i="2"/>
  <c r="D35" i="2"/>
  <c r="I34" i="2"/>
  <c r="D25" i="2"/>
  <c r="O11" i="2"/>
  <c r="O16" i="2"/>
  <c r="N13" i="2"/>
  <c r="D18" i="2"/>
  <c r="N59" i="2"/>
  <c r="N43" i="2"/>
  <c r="N27" i="2"/>
  <c r="O46" i="2"/>
  <c r="O30" i="2"/>
  <c r="N58" i="2"/>
  <c r="N42" i="2"/>
  <c r="N26" i="2"/>
  <c r="O53" i="2"/>
  <c r="O37" i="2"/>
  <c r="O21" i="2"/>
  <c r="D38" i="2"/>
  <c r="D32" i="2"/>
  <c r="I32" i="2" s="1"/>
  <c r="D24" i="2"/>
  <c r="D59" i="2"/>
  <c r="I36" i="2"/>
  <c r="D26" i="2"/>
  <c r="I35" i="2"/>
  <c r="O20" i="2"/>
  <c r="N20" i="2"/>
  <c r="N17" i="2"/>
  <c r="O19" i="2"/>
  <c r="D19" i="2"/>
  <c r="D17" i="2"/>
  <c r="N55" i="2"/>
  <c r="N47" i="2"/>
  <c r="N39" i="2"/>
  <c r="N31" i="2"/>
  <c r="N23" i="2"/>
  <c r="O58" i="2"/>
  <c r="O50" i="2"/>
  <c r="O42" i="2"/>
  <c r="O34" i="2"/>
  <c r="O26" i="2"/>
  <c r="N54" i="2"/>
  <c r="N46" i="2"/>
  <c r="N38" i="2"/>
  <c r="N30" i="2"/>
  <c r="N22" i="2"/>
  <c r="O57" i="2"/>
  <c r="O49" i="2"/>
  <c r="O41" i="2"/>
  <c r="O33" i="2"/>
  <c r="O25" i="2"/>
  <c r="O12" i="2"/>
  <c r="D46" i="2"/>
  <c r="D30" i="2"/>
  <c r="D56" i="2"/>
  <c r="D40" i="2"/>
  <c r="D61" i="2"/>
  <c r="D29" i="2"/>
  <c r="D57" i="2"/>
  <c r="D43" i="2"/>
  <c r="D47" i="2"/>
  <c r="D39" i="2"/>
  <c r="D11" i="2"/>
  <c r="I11" i="2" s="1"/>
  <c r="H11" i="2"/>
  <c r="I61" i="2"/>
  <c r="I33" i="2"/>
  <c r="H61" i="2"/>
  <c r="H39" i="2"/>
  <c r="N16" i="2"/>
  <c r="O17" i="2"/>
  <c r="D13" i="2"/>
  <c r="N53" i="2"/>
  <c r="N37" i="2"/>
  <c r="O48" i="2"/>
  <c r="O32" i="2"/>
  <c r="N60" i="2"/>
  <c r="N44" i="2"/>
  <c r="N28" i="2"/>
  <c r="O47" i="2"/>
  <c r="O31" i="2"/>
  <c r="N12" i="2"/>
  <c r="D58" i="2"/>
  <c r="D52" i="2"/>
  <c r="D53" i="2"/>
  <c r="D41" i="2"/>
  <c r="D49" i="2"/>
  <c r="D55" i="2"/>
  <c r="H38" i="2"/>
  <c r="H40" i="2"/>
  <c r="I56" i="2"/>
  <c r="N14" i="2"/>
  <c r="O15" i="2"/>
  <c r="D20" i="2"/>
  <c r="N51" i="2"/>
  <c r="N35" i="2"/>
  <c r="O54" i="2"/>
  <c r="O38" i="2"/>
  <c r="O22" i="2"/>
  <c r="N50" i="2"/>
  <c r="N34" i="2"/>
  <c r="O61" i="2"/>
  <c r="O45" i="2"/>
  <c r="O29" i="2"/>
  <c r="D54" i="2"/>
  <c r="D48" i="2"/>
  <c r="D45" i="2"/>
  <c r="H37" i="2"/>
  <c r="D27" i="2"/>
  <c r="D31" i="2"/>
  <c r="N11" i="2"/>
  <c r="H50" i="2"/>
  <c r="H36" i="2"/>
  <c r="H57" i="2"/>
  <c r="I59" i="2"/>
  <c r="I60" i="2"/>
  <c r="H55" i="2"/>
  <c r="H43" i="2"/>
  <c r="I18" i="2"/>
  <c r="I38" i="2"/>
  <c r="I37" i="2"/>
  <c r="I24" i="2"/>
  <c r="I22" i="2"/>
  <c r="I14" i="2"/>
  <c r="I16" i="2"/>
  <c r="I46" i="2"/>
  <c r="H46" i="2"/>
  <c r="H60" i="2"/>
  <c r="H58" i="2"/>
  <c r="I58" i="2"/>
  <c r="I57" i="2"/>
  <c r="H59" i="2"/>
  <c r="I51" i="2"/>
  <c r="H52" i="2"/>
  <c r="I52" i="2"/>
  <c r="I50" i="2"/>
  <c r="I53" i="2"/>
  <c r="H53" i="2"/>
  <c r="I40" i="2"/>
  <c r="H44" i="2"/>
  <c r="H42" i="2"/>
  <c r="I41" i="2"/>
  <c r="H41" i="2"/>
  <c r="H49" i="2"/>
  <c r="I49" i="2"/>
  <c r="H56" i="2"/>
  <c r="I55" i="2"/>
  <c r="I19" i="2"/>
  <c r="I13" i="2"/>
  <c r="I15" i="2"/>
  <c r="I17" i="2"/>
  <c r="I20" i="2"/>
  <c r="I54" i="2"/>
  <c r="H54" i="2"/>
  <c r="H51" i="2"/>
  <c r="I47" i="2"/>
  <c r="I48" i="2"/>
  <c r="H48" i="2"/>
  <c r="I39" i="2"/>
  <c r="I43" i="2"/>
  <c r="H47" i="2"/>
  <c r="I42" i="2"/>
  <c r="I45" i="2"/>
  <c r="I26" i="2"/>
  <c r="I23" i="2"/>
  <c r="I21" i="2"/>
  <c r="I25" i="2"/>
  <c r="I27" i="2"/>
  <c r="I31" i="2"/>
  <c r="I28" i="2"/>
  <c r="I30" i="2"/>
  <c r="I29" i="2"/>
  <c r="G16" i="2" l="1"/>
  <c r="F16" i="2"/>
  <c r="E16" i="2"/>
  <c r="G20" i="2"/>
  <c r="F20" i="2"/>
  <c r="E20" i="2"/>
  <c r="F13" i="2"/>
  <c r="E13" i="2"/>
  <c r="G13" i="2"/>
  <c r="F17" i="2"/>
  <c r="E17" i="2"/>
  <c r="G17" i="2"/>
  <c r="E14" i="2"/>
  <c r="G14" i="2"/>
  <c r="F14" i="2"/>
  <c r="E18" i="2"/>
  <c r="G18" i="2"/>
  <c r="F18" i="2"/>
  <c r="G15" i="2"/>
  <c r="F15" i="2"/>
  <c r="E15" i="2"/>
  <c r="G19" i="2"/>
  <c r="F19" i="2"/>
  <c r="E19" i="2"/>
  <c r="E73" i="2"/>
  <c r="G73" i="2"/>
  <c r="F73" i="2"/>
  <c r="E77" i="2"/>
  <c r="G77" i="2"/>
  <c r="F77" i="2"/>
  <c r="G71" i="2"/>
  <c r="E71" i="2"/>
  <c r="F71" i="2"/>
  <c r="G75" i="2"/>
  <c r="F75" i="2"/>
  <c r="E75" i="2"/>
  <c r="G79" i="2"/>
  <c r="E79" i="2"/>
  <c r="F79" i="2"/>
  <c r="F72" i="2"/>
  <c r="G72" i="2"/>
  <c r="E72" i="2"/>
  <c r="F76" i="2"/>
  <c r="G76" i="2"/>
  <c r="E76" i="2"/>
  <c r="F80" i="2"/>
  <c r="G80" i="2"/>
  <c r="E80" i="2"/>
  <c r="G74" i="2"/>
  <c r="F74" i="2"/>
  <c r="E74" i="2"/>
  <c r="F78" i="2"/>
  <c r="E78" i="2"/>
  <c r="G78" i="2"/>
  <c r="F22" i="2"/>
  <c r="E22" i="2"/>
  <c r="G22" i="2"/>
  <c r="G39" i="2"/>
  <c r="E39" i="2"/>
  <c r="F39" i="2"/>
  <c r="G25" i="2"/>
  <c r="F25" i="2"/>
  <c r="E25" i="2"/>
  <c r="G47" i="2"/>
  <c r="E47" i="2"/>
  <c r="F47" i="2"/>
  <c r="F26" i="2"/>
  <c r="E26" i="2"/>
  <c r="G26" i="2"/>
  <c r="G55" i="2"/>
  <c r="E55" i="2"/>
  <c r="F55" i="2"/>
  <c r="G21" i="2"/>
  <c r="F21" i="2"/>
  <c r="E21" i="2"/>
  <c r="G31" i="2"/>
  <c r="E31" i="2"/>
  <c r="F31" i="2"/>
  <c r="G63" i="2"/>
  <c r="E63" i="2"/>
  <c r="F63" i="2"/>
  <c r="E49" i="2"/>
  <c r="G49" i="2"/>
  <c r="F49" i="2"/>
  <c r="E65" i="2"/>
  <c r="G65" i="2"/>
  <c r="F65" i="2"/>
  <c r="E23" i="2"/>
  <c r="G23" i="2"/>
  <c r="F23" i="2"/>
  <c r="E27" i="2"/>
  <c r="G27" i="2"/>
  <c r="F27" i="2"/>
  <c r="G35" i="2"/>
  <c r="E35" i="2"/>
  <c r="F35" i="2"/>
  <c r="G43" i="2"/>
  <c r="E43" i="2"/>
  <c r="F43" i="2"/>
  <c r="G51" i="2"/>
  <c r="E51" i="2"/>
  <c r="F51" i="2"/>
  <c r="G59" i="2"/>
  <c r="E59" i="2"/>
  <c r="F59" i="2"/>
  <c r="G67" i="2"/>
  <c r="E67" i="2"/>
  <c r="F67" i="2"/>
  <c r="E33" i="2"/>
  <c r="G33" i="2"/>
  <c r="F33" i="2"/>
  <c r="E41" i="2"/>
  <c r="G41" i="2"/>
  <c r="F41" i="2"/>
  <c r="E57" i="2"/>
  <c r="G57" i="2"/>
  <c r="F57" i="2"/>
  <c r="G24" i="2"/>
  <c r="F24" i="2"/>
  <c r="E24" i="2"/>
  <c r="F28" i="2"/>
  <c r="G28" i="2"/>
  <c r="E28" i="2"/>
  <c r="E29" i="2"/>
  <c r="G29" i="2"/>
  <c r="F29" i="2"/>
  <c r="E37" i="2"/>
  <c r="G37" i="2"/>
  <c r="F37" i="2"/>
  <c r="E45" i="2"/>
  <c r="G45" i="2"/>
  <c r="F45" i="2"/>
  <c r="E53" i="2"/>
  <c r="G53" i="2"/>
  <c r="F53" i="2"/>
  <c r="E61" i="2"/>
  <c r="G61" i="2"/>
  <c r="F61" i="2"/>
  <c r="E69" i="2"/>
  <c r="G69" i="2"/>
  <c r="F69" i="2"/>
  <c r="F32" i="2"/>
  <c r="G32" i="2"/>
  <c r="E32" i="2"/>
  <c r="F36" i="2"/>
  <c r="K36" i="2" s="1"/>
  <c r="E36" i="2"/>
  <c r="J36" i="2" s="1"/>
  <c r="G36" i="2"/>
  <c r="L36" i="2" s="1"/>
  <c r="F40" i="2"/>
  <c r="G40" i="2"/>
  <c r="E40" i="2"/>
  <c r="F44" i="2"/>
  <c r="E44" i="2"/>
  <c r="G44" i="2"/>
  <c r="F48" i="2"/>
  <c r="E48" i="2"/>
  <c r="G48" i="2"/>
  <c r="F52" i="2"/>
  <c r="E52" i="2"/>
  <c r="G52" i="2"/>
  <c r="F56" i="2"/>
  <c r="G56" i="2"/>
  <c r="E56" i="2"/>
  <c r="F60" i="2"/>
  <c r="E60" i="2"/>
  <c r="G60" i="2"/>
  <c r="F64" i="2"/>
  <c r="G64" i="2"/>
  <c r="E64" i="2"/>
  <c r="F68" i="2"/>
  <c r="E68" i="2"/>
  <c r="G68" i="2"/>
  <c r="F30" i="2"/>
  <c r="G30" i="2"/>
  <c r="E30" i="2"/>
  <c r="F34" i="2"/>
  <c r="G34" i="2"/>
  <c r="E34" i="2"/>
  <c r="F38" i="2"/>
  <c r="G38" i="2"/>
  <c r="E38" i="2"/>
  <c r="F42" i="2"/>
  <c r="G42" i="2"/>
  <c r="E42" i="2"/>
  <c r="F46" i="2"/>
  <c r="G46" i="2"/>
  <c r="E46" i="2"/>
  <c r="F50" i="2"/>
  <c r="G50" i="2"/>
  <c r="E50" i="2"/>
  <c r="F54" i="2"/>
  <c r="G54" i="2"/>
  <c r="E54" i="2"/>
  <c r="F58" i="2"/>
  <c r="G58" i="2"/>
  <c r="E58" i="2"/>
  <c r="F62" i="2"/>
  <c r="G62" i="2"/>
  <c r="E62" i="2"/>
  <c r="F66" i="2"/>
  <c r="G66" i="2"/>
  <c r="E66" i="2"/>
  <c r="F70" i="2"/>
  <c r="G70" i="2"/>
  <c r="E70" i="2"/>
  <c r="L70" i="2"/>
  <c r="J70" i="2"/>
  <c r="K70" i="2"/>
  <c r="H45" i="2"/>
  <c r="I44" i="2"/>
  <c r="D12" i="2"/>
  <c r="H23" i="2"/>
  <c r="H34" i="2"/>
  <c r="H15" i="2"/>
  <c r="I12" i="2"/>
  <c r="H25" i="2"/>
  <c r="H28" i="2"/>
  <c r="H17" i="2"/>
  <c r="H19" i="2"/>
  <c r="H18" i="2"/>
  <c r="H30" i="2"/>
  <c r="H33" i="2"/>
  <c r="H22" i="2"/>
  <c r="H14" i="2"/>
  <c r="H16" i="2"/>
  <c r="H32" i="2"/>
  <c r="H27" i="2"/>
  <c r="H26" i="2"/>
  <c r="H12" i="2"/>
  <c r="H21" i="2"/>
  <c r="H29" i="2"/>
  <c r="H13" i="2"/>
  <c r="H24" i="2"/>
  <c r="H35" i="2"/>
  <c r="H20" i="2"/>
  <c r="H31" i="2"/>
  <c r="B12" i="2" l="1"/>
  <c r="G11" i="2" l="1"/>
  <c r="F11" i="2"/>
  <c r="E11" i="2"/>
  <c r="E12" i="2"/>
  <c r="G12" i="2"/>
  <c r="F12" i="2"/>
  <c r="L14" i="2"/>
  <c r="L20" i="2"/>
  <c r="K14" i="2"/>
  <c r="K17" i="2"/>
  <c r="J20" i="2"/>
  <c r="J17" i="2"/>
  <c r="L17" i="2"/>
  <c r="L13" i="2"/>
  <c r="K15" i="2"/>
  <c r="J15" i="2"/>
  <c r="L18" i="2"/>
  <c r="L19" i="2"/>
  <c r="K13" i="2"/>
  <c r="J16" i="2"/>
  <c r="L16" i="2"/>
  <c r="L15" i="2"/>
  <c r="K16" i="2"/>
  <c r="K19" i="2"/>
  <c r="J14" i="2"/>
  <c r="J18" i="2"/>
  <c r="K20" i="2"/>
  <c r="J13" i="2"/>
  <c r="K18" i="2"/>
  <c r="J19" i="2"/>
  <c r="C4" i="2" l="1"/>
  <c r="C3" i="2"/>
  <c r="J61" i="2"/>
  <c r="J64" i="2"/>
  <c r="L62" i="2"/>
  <c r="L63" i="2"/>
  <c r="K68" i="2"/>
  <c r="K66" i="2"/>
  <c r="J69" i="2"/>
  <c r="L61" i="2"/>
  <c r="J67" i="2"/>
  <c r="J65" i="2"/>
  <c r="J63" i="2"/>
  <c r="L68" i="2"/>
  <c r="J66" i="2"/>
  <c r="L69" i="2"/>
  <c r="K61" i="2"/>
  <c r="L67" i="2"/>
  <c r="K64" i="2"/>
  <c r="L65" i="2"/>
  <c r="K62" i="2"/>
  <c r="K63" i="2"/>
  <c r="J68" i="2"/>
  <c r="L66" i="2"/>
  <c r="K69" i="2"/>
  <c r="K67" i="2"/>
  <c r="L64" i="2"/>
  <c r="K65" i="2"/>
  <c r="J62" i="2"/>
  <c r="K11" i="2"/>
  <c r="L11" i="2"/>
  <c r="J11" i="2"/>
  <c r="J71" i="2"/>
  <c r="J80" i="2"/>
  <c r="K79" i="2"/>
  <c r="L78" i="2"/>
  <c r="K75" i="2"/>
  <c r="K78" i="2"/>
  <c r="L75" i="2"/>
  <c r="J75" i="2"/>
  <c r="K77" i="2"/>
  <c r="L72" i="2"/>
  <c r="K73" i="2"/>
  <c r="J79" i="2"/>
  <c r="J73" i="2"/>
  <c r="L79" i="2"/>
  <c r="L73" i="2"/>
  <c r="J72" i="2"/>
  <c r="J74" i="2"/>
  <c r="K76" i="2"/>
  <c r="J77" i="2"/>
  <c r="K72" i="2"/>
  <c r="L77" i="2"/>
  <c r="J76" i="2"/>
  <c r="L74" i="2"/>
  <c r="L76" i="2"/>
  <c r="L71" i="2"/>
  <c r="L80" i="2"/>
  <c r="K74" i="2"/>
  <c r="K80" i="2"/>
  <c r="K71" i="2"/>
  <c r="J78" i="2"/>
  <c r="K26" i="2"/>
  <c r="K21" i="2"/>
  <c r="K22" i="2"/>
  <c r="K25" i="2"/>
  <c r="L30" i="2"/>
  <c r="L28" i="2"/>
  <c r="L27" i="2"/>
  <c r="J32" i="2"/>
  <c r="J25" i="2"/>
  <c r="J26" i="2"/>
  <c r="J21" i="2"/>
  <c r="K58" i="2"/>
  <c r="L56" i="2"/>
  <c r="J51" i="2"/>
  <c r="L49" i="2"/>
  <c r="J55" i="2"/>
  <c r="J44" i="2"/>
  <c r="J56" i="2"/>
  <c r="L59" i="2"/>
  <c r="K49" i="2"/>
  <c r="J54" i="2"/>
  <c r="L39" i="2"/>
  <c r="J50" i="2"/>
  <c r="L37" i="2"/>
  <c r="K47" i="2"/>
  <c r="K44" i="2"/>
  <c r="L57" i="2"/>
  <c r="L43" i="2"/>
  <c r="L46" i="2"/>
  <c r="L12" i="2"/>
  <c r="L42" i="2"/>
  <c r="K57" i="2"/>
  <c r="K43" i="2"/>
  <c r="L47" i="2"/>
  <c r="K40" i="2"/>
  <c r="K51" i="2"/>
  <c r="K55" i="2"/>
  <c r="J57" i="2"/>
  <c r="J48" i="2"/>
  <c r="K38" i="2"/>
  <c r="J53" i="2"/>
  <c r="J38" i="2"/>
  <c r="K30" i="2"/>
  <c r="K28" i="2"/>
  <c r="L31" i="2"/>
  <c r="L26" i="2"/>
  <c r="J33" i="2"/>
  <c r="J23" i="2"/>
  <c r="J41" i="2"/>
  <c r="L38" i="2"/>
  <c r="K53" i="2"/>
  <c r="K46" i="2"/>
  <c r="J43" i="2"/>
  <c r="L54" i="2"/>
  <c r="L50" i="2"/>
  <c r="J52" i="2"/>
  <c r="K12" i="2"/>
  <c r="K35" i="2"/>
  <c r="K24" i="2"/>
  <c r="L34" i="2"/>
  <c r="L35" i="2"/>
  <c r="J27" i="2"/>
  <c r="L44" i="2"/>
  <c r="J59" i="2"/>
  <c r="K54" i="2"/>
  <c r="K50" i="2"/>
  <c r="K52" i="2"/>
  <c r="L58" i="2"/>
  <c r="K41" i="2"/>
  <c r="L60" i="2"/>
  <c r="K56" i="2"/>
  <c r="J49" i="2"/>
  <c r="J12" i="2"/>
  <c r="K34" i="2"/>
  <c r="K33" i="2"/>
  <c r="K32" i="2"/>
  <c r="L21" i="2"/>
  <c r="L32" i="2"/>
  <c r="L24" i="2"/>
  <c r="L29" i="2"/>
  <c r="J28" i="2"/>
  <c r="J24" i="2"/>
  <c r="J22" i="2"/>
  <c r="J34" i="2"/>
  <c r="K60" i="2"/>
  <c r="K42" i="2"/>
  <c r="K59" i="2"/>
  <c r="L52" i="2"/>
  <c r="J40" i="2"/>
  <c r="J60" i="2"/>
  <c r="K23" i="2"/>
  <c r="K29" i="2"/>
  <c r="L33" i="2"/>
  <c r="L23" i="2"/>
  <c r="J29" i="2"/>
  <c r="J30" i="2"/>
  <c r="J58" i="2"/>
  <c r="L41" i="2"/>
  <c r="L40" i="2"/>
  <c r="J39" i="2"/>
  <c r="K37" i="2"/>
  <c r="K39" i="2"/>
  <c r="K27" i="2"/>
  <c r="K31" i="2"/>
  <c r="L22" i="2"/>
  <c r="L25" i="2"/>
  <c r="J31" i="2"/>
  <c r="J35" i="2"/>
  <c r="L53" i="2"/>
  <c r="K48" i="2"/>
  <c r="J37" i="2"/>
  <c r="L48" i="2"/>
  <c r="J47" i="2"/>
  <c r="J46" i="2"/>
  <c r="J42" i="2"/>
  <c r="L51" i="2"/>
  <c r="L55" i="2"/>
  <c r="L45" i="2" l="1"/>
  <c r="J45" i="2"/>
  <c r="K45" i="2"/>
</calcChain>
</file>

<file path=xl/sharedStrings.xml><?xml version="1.0" encoding="utf-8"?>
<sst xmlns="http://schemas.openxmlformats.org/spreadsheetml/2006/main" count="29" uniqueCount="25">
  <si>
    <t>Color</t>
  </si>
  <si>
    <t xml:space="preserve"> </t>
  </si>
  <si>
    <t>Step</t>
  </si>
  <si>
    <t>R</t>
  </si>
  <si>
    <t>G</t>
  </si>
  <si>
    <t>B</t>
  </si>
  <si>
    <t>Hex Color</t>
  </si>
  <si>
    <t>Down</t>
  </si>
  <si>
    <t>Up</t>
  </si>
  <si>
    <t>Steps</t>
  </si>
  <si>
    <t>Range</t>
  </si>
  <si>
    <t>Column</t>
  </si>
  <si>
    <t>Instructions</t>
  </si>
  <si>
    <t>R Vector Code:</t>
  </si>
  <si>
    <t>Int Color</t>
  </si>
  <si>
    <t>Input</t>
  </si>
  <si>
    <t>c("#FF0000","#FE0A0A","#FE1313","#FD1D1D","#FD2727","#FC3030","#FC3A3A","#FB4444","#FB4D4D","#FA5757","#FA6161","#F96A6A","#F97474","#F87E7E","#F88888","#F79191","#F79B9B","#F6A5A5","#F6AEAE","#F5B8B8","#F5C2C2","#F4CBCB","#F4D5D5","#F3DFDF","#F3E8E8","#F2F2F2","#E8E8F3","#DFDFF3","#D5D5F4","#CBCBF4","#C2C2F5","#B8B8F5","#AEAEF6","#A5A5F6","#9B9BF7","#9191F7","#8888F8","#7E7EF8","#7474F9","#6A6AF9","#6161FA","#5757FA","#4D4DFB","#4444FB","#3A3AFC","#3030FC","#2727FD","#1D1DFD","#1313FE","#0A0AFE","#0000FF")</t>
  </si>
  <si>
    <t>1.) Set the number of total colors in your palette in the "steps" cell (min=3, max=100)</t>
  </si>
  <si>
    <t>When you are done, column M will show you visually what your color scale looks like, and cell D8 will contain a string of R code that can be used to create a vector with those colors, in order.</t>
  </si>
  <si>
    <t>Example:</t>
  </si>
  <si>
    <r>
      <t xml:space="preserve">4.) Hit </t>
    </r>
    <r>
      <rPr>
        <b/>
        <sz val="11"/>
        <color theme="1"/>
        <rFont val="Calibri"/>
        <family val="2"/>
        <scheme val="minor"/>
      </rPr>
      <t>F9</t>
    </r>
    <r>
      <rPr>
        <sz val="11"/>
        <color theme="1"/>
        <rFont val="Calibri"/>
        <family val="2"/>
        <scheme val="minor"/>
      </rPr>
      <t xml:space="preserve"> to recalculate</t>
    </r>
  </si>
  <si>
    <t>For a three color scale that runs from Blue to White to Red, set cell C11 to be Blue, C36 to be off-white (not exactly white, because that will not register), and C61 to be Red. 
Then set "steps" to be 51. Click "Make Palette" and observe the output.</t>
  </si>
  <si>
    <r>
      <t xml:space="preserve">5.) Click the big blue "Make Palette" button at the top, or press </t>
    </r>
    <r>
      <rPr>
        <b/>
        <sz val="11"/>
        <color theme="1"/>
        <rFont val="Calibri"/>
        <family val="2"/>
        <scheme val="minor"/>
      </rPr>
      <t>Ctrl + q</t>
    </r>
  </si>
  <si>
    <t>2.) Pick the colors that you want as "pivot" points in your pallette and set the cells in column C to be that color at that step. See the example below. (You can have as many as you want, but white cannot be one of them, you will have to use something slightly off-white instead.)</t>
  </si>
  <si>
    <t>3.) Make sure the first and last steps have a non-white color</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</si>
</sst>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u/>
      <sz val="11"/>
      <color theme="1"/>
      <name val="Calibri"/>
      <family val="2"/>
      <scheme val="minor"/>
    </font>
    <font>
      <sz val="11"/>
      <color rgb="FF0000FF"/>
      <name val="Calibri"/>
      <family val="2"/>
      <scheme val="minor"/>
    </font>
    <font>
      <b/>
      <sz val="11"/>
      <color rgb="FF0000FF"/>
      <name val="Calibri"/>
      <family val="2"/>
      <scheme val="minor"/>
    </font>
    <font>
      <b/>
      <sz val="11"/>
      <color theme="1"/>
      <name val="Calibri"/>
      <family val="2"/>
      <scheme val="minor"/>
    </font>
  </fonts>
  <fills count="56">
    <fill>
      <patternFill patternType="none"/>
    </fill>
    <fill>
      <patternFill patternType="gray125"/>
    </fill>
    <fill>
      <patternFill patternType="solid">
        <fgColor rgb="FF0000FF"/>
        <bgColor indexed="64"/>
      </patternFill>
    </fill>
    <fill>
      <patternFill patternType="solid">
        <fgColor rgb="FFFF000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0A0AFE"/>
        <bgColor indexed="64"/>
      </patternFill>
    </fill>
    <fill>
      <patternFill patternType="solid">
        <fgColor rgb="FF1313FE"/>
        <bgColor indexed="64"/>
      </patternFill>
    </fill>
    <fill>
      <patternFill patternType="solid">
        <fgColor rgb="FF1D1DFD"/>
        <bgColor indexed="64"/>
      </patternFill>
    </fill>
    <fill>
      <patternFill patternType="solid">
        <fgColor rgb="FF2727FD"/>
        <bgColor indexed="64"/>
      </patternFill>
    </fill>
    <fill>
      <patternFill patternType="solid">
        <fgColor rgb="FF3030FC"/>
        <bgColor indexed="64"/>
      </patternFill>
    </fill>
    <fill>
      <patternFill patternType="solid">
        <fgColor rgb="FF3A3AFC"/>
        <bgColor indexed="64"/>
      </patternFill>
    </fill>
    <fill>
      <patternFill patternType="solid">
        <fgColor rgb="FF4444FB"/>
        <bgColor indexed="64"/>
      </patternFill>
    </fill>
    <fill>
      <patternFill patternType="solid">
        <fgColor rgb="FF4D4DFB"/>
        <bgColor indexed="64"/>
      </patternFill>
    </fill>
    <fill>
      <patternFill patternType="solid">
        <fgColor rgb="FF5757FA"/>
        <bgColor indexed="64"/>
      </patternFill>
    </fill>
    <fill>
      <patternFill patternType="solid">
        <fgColor rgb="FF6161FA"/>
        <bgColor indexed="64"/>
      </patternFill>
    </fill>
    <fill>
      <patternFill patternType="solid">
        <fgColor rgb="FF6A6AF9"/>
        <bgColor indexed="64"/>
      </patternFill>
    </fill>
    <fill>
      <patternFill patternType="solid">
        <fgColor rgb="FF7474F9"/>
        <bgColor indexed="64"/>
      </patternFill>
    </fill>
    <fill>
      <patternFill patternType="solid">
        <fgColor rgb="FF7E7EF8"/>
        <bgColor indexed="64"/>
      </patternFill>
    </fill>
    <fill>
      <patternFill patternType="solid">
        <fgColor rgb="FF8888F8"/>
        <bgColor indexed="64"/>
      </patternFill>
    </fill>
    <fill>
      <patternFill patternType="solid">
        <fgColor rgb="FF9191F7"/>
        <bgColor indexed="64"/>
      </patternFill>
    </fill>
    <fill>
      <patternFill patternType="solid">
        <fgColor rgb="FF9B9BF7"/>
        <bgColor indexed="64"/>
      </patternFill>
    </fill>
    <fill>
      <patternFill patternType="solid">
        <fgColor rgb="FFA5A5F6"/>
        <bgColor indexed="64"/>
      </patternFill>
    </fill>
    <fill>
      <patternFill patternType="solid">
        <fgColor rgb="FFAEAEF6"/>
        <bgColor indexed="64"/>
      </patternFill>
    </fill>
    <fill>
      <patternFill patternType="solid">
        <fgColor rgb="FFB8B8F5"/>
        <bgColor indexed="64"/>
      </patternFill>
    </fill>
    <fill>
      <patternFill patternType="solid">
        <fgColor rgb="FFC2C2F5"/>
        <bgColor indexed="64"/>
      </patternFill>
    </fill>
    <fill>
      <patternFill patternType="solid">
        <fgColor rgb="FFCBCBF4"/>
        <bgColor indexed="64"/>
      </patternFill>
    </fill>
    <fill>
      <patternFill patternType="solid">
        <fgColor rgb="FFD5D5F4"/>
        <bgColor indexed="64"/>
      </patternFill>
    </fill>
    <fill>
      <patternFill patternType="solid">
        <fgColor rgb="FFDFDFF3"/>
        <bgColor indexed="64"/>
      </patternFill>
    </fill>
    <fill>
      <patternFill patternType="solid">
        <fgColor rgb="FFE8E8F3"/>
        <bgColor indexed="64"/>
      </patternFill>
    </fill>
    <fill>
      <patternFill patternType="solid">
        <fgColor rgb="FFF2F2F2"/>
        <bgColor indexed="64"/>
      </patternFill>
    </fill>
    <fill>
      <patternFill patternType="solid">
        <fgColor rgb="FFF3E8E8"/>
        <bgColor indexed="64"/>
      </patternFill>
    </fill>
    <fill>
      <patternFill patternType="solid">
        <fgColor rgb="FFF3DFDF"/>
        <bgColor indexed="64"/>
      </patternFill>
    </fill>
    <fill>
      <patternFill patternType="solid">
        <fgColor rgb="FFF4D5D5"/>
        <bgColor indexed="64"/>
      </patternFill>
    </fill>
    <fill>
      <patternFill patternType="solid">
        <fgColor rgb="FFF4CBCB"/>
        <bgColor indexed="64"/>
      </patternFill>
    </fill>
    <fill>
      <patternFill patternType="solid">
        <fgColor rgb="FFF5C2C2"/>
        <bgColor indexed="64"/>
      </patternFill>
    </fill>
    <fill>
      <patternFill patternType="solid">
        <fgColor rgb="FFF5B8B8"/>
        <bgColor indexed="64"/>
      </patternFill>
    </fill>
    <fill>
      <patternFill patternType="solid">
        <fgColor rgb="FFF6AEAE"/>
        <bgColor indexed="64"/>
      </patternFill>
    </fill>
    <fill>
      <patternFill patternType="solid">
        <fgColor rgb="FFF6A5A5"/>
        <bgColor indexed="64"/>
      </patternFill>
    </fill>
    <fill>
      <patternFill patternType="solid">
        <fgColor rgb="FFF79B9B"/>
        <bgColor indexed="64"/>
      </patternFill>
    </fill>
    <fill>
      <patternFill patternType="solid">
        <fgColor rgb="FFF79191"/>
        <bgColor indexed="64"/>
      </patternFill>
    </fill>
    <fill>
      <patternFill patternType="solid">
        <fgColor rgb="FFF88888"/>
        <bgColor indexed="64"/>
      </patternFill>
    </fill>
    <fill>
      <patternFill patternType="solid">
        <fgColor rgb="FFF87E7E"/>
        <bgColor indexed="64"/>
      </patternFill>
    </fill>
    <fill>
      <patternFill patternType="solid">
        <fgColor rgb="FFF97474"/>
        <bgColor indexed="64"/>
      </patternFill>
    </fill>
    <fill>
      <patternFill patternType="solid">
        <fgColor rgb="FFF96A6A"/>
        <bgColor indexed="64"/>
      </patternFill>
    </fill>
    <fill>
      <patternFill patternType="solid">
        <fgColor rgb="FFFA6161"/>
        <bgColor indexed="64"/>
      </patternFill>
    </fill>
    <fill>
      <patternFill patternType="solid">
        <fgColor rgb="FFFA5757"/>
        <bgColor indexed="64"/>
      </patternFill>
    </fill>
    <fill>
      <patternFill patternType="solid">
        <fgColor rgb="FFFB4D4D"/>
        <bgColor indexed="64"/>
      </patternFill>
    </fill>
    <fill>
      <patternFill patternType="solid">
        <fgColor rgb="FFFB4444"/>
        <bgColor indexed="64"/>
      </patternFill>
    </fill>
    <fill>
      <patternFill patternType="solid">
        <fgColor rgb="FFFC3A3A"/>
        <bgColor indexed="64"/>
      </patternFill>
    </fill>
    <fill>
      <patternFill patternType="solid">
        <fgColor rgb="FFFC3030"/>
        <bgColor indexed="64"/>
      </patternFill>
    </fill>
    <fill>
      <patternFill patternType="solid">
        <fgColor rgb="FFFD2727"/>
        <bgColor indexed="64"/>
      </patternFill>
    </fill>
    <fill>
      <patternFill patternType="solid">
        <fgColor rgb="FFFD1D1D"/>
        <bgColor indexed="64"/>
      </patternFill>
    </fill>
    <fill>
      <patternFill patternType="solid">
        <fgColor rgb="FFFE1313"/>
        <bgColor indexed="64"/>
      </patternFill>
    </fill>
    <fill>
      <patternFill patternType="solid">
        <fgColor rgb="FFFE0A0A"/>
        <bgColor indexed="64"/>
      </patternFill>
    </fill>
    <fill>
      <patternFill patternType="solid">
        <fgColor rgb="FFFFFFCC"/>
        <bgColor indexed="64"/>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85">
    <xf numFmtId="0" fontId="0" fillId="0" borderId="0" xfId="0"/>
    <xf numFmtId="0" fontId="0" fillId="0" borderId="0" xfId="0" applyAlignment="1">
      <alignment horizontal="right"/>
    </xf>
    <xf numFmtId="0" fontId="1" fillId="0" borderId="0" xfId="0" applyFont="1"/>
    <xf numFmtId="0" fontId="0" fillId="0" borderId="0" xfId="0" applyAlignment="1">
      <alignment horizontal="center"/>
    </xf>
    <xf numFmtId="0" fontId="1" fillId="0" borderId="0" xfId="0" applyFont="1" applyAlignment="1">
      <alignment horizontal="center"/>
    </xf>
    <xf numFmtId="0" fontId="1" fillId="0" borderId="0" xfId="0" applyFont="1" applyBorder="1" applyAlignment="1">
      <alignment horizontal="center"/>
    </xf>
    <xf numFmtId="0" fontId="1" fillId="4" borderId="0" xfId="0" applyFont="1" applyFill="1" applyBorder="1" applyAlignment="1">
      <alignment horizontal="center"/>
    </xf>
    <xf numFmtId="0" fontId="3" fillId="0" borderId="0" xfId="0" applyFont="1"/>
    <xf numFmtId="0" fontId="0" fillId="0" borderId="2" xfId="0" applyBorder="1" applyAlignment="1">
      <alignment horizontal="center"/>
    </xf>
    <xf numFmtId="0" fontId="0" fillId="2" borderId="3" xfId="0" applyFill="1" applyBorder="1"/>
    <xf numFmtId="0" fontId="0" fillId="0" borderId="3" xfId="0" applyBorder="1"/>
    <xf numFmtId="0" fontId="0" fillId="0" borderId="3" xfId="0" applyBorder="1" applyAlignment="1">
      <alignment horizontal="center"/>
    </xf>
    <xf numFmtId="0" fontId="2" fillId="0" borderId="3" xfId="0" applyFont="1" applyBorder="1" applyAlignment="1">
      <alignment horizontal="center"/>
    </xf>
    <xf numFmtId="0" fontId="0" fillId="0" borderId="4" xfId="0" applyBorder="1"/>
    <xf numFmtId="0" fontId="0" fillId="0" borderId="5" xfId="0" applyBorder="1" applyAlignment="1">
      <alignment horizontal="center"/>
    </xf>
    <xf numFmtId="0" fontId="0" fillId="0" borderId="0" xfId="0" applyBorder="1"/>
    <xf numFmtId="0" fontId="0" fillId="0" borderId="0" xfId="0" applyBorder="1" applyAlignment="1">
      <alignment horizontal="center"/>
    </xf>
    <xf numFmtId="0" fontId="2" fillId="0" borderId="0" xfId="0" applyFont="1" applyBorder="1" applyAlignment="1">
      <alignment horizontal="center"/>
    </xf>
    <xf numFmtId="0" fontId="0" fillId="6" borderId="0" xfId="0" applyFill="1" applyBorder="1"/>
    <xf numFmtId="0" fontId="0" fillId="0" borderId="6" xfId="0" applyBorder="1"/>
    <xf numFmtId="0" fontId="0" fillId="7" borderId="0" xfId="0" applyFill="1" applyBorder="1"/>
    <xf numFmtId="0" fontId="0" fillId="0" borderId="0" xfId="0" applyFill="1"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2" fillId="0" borderId="0" xfId="0" applyFont="1"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25" borderId="0" xfId="0" applyFill="1" applyBorder="1"/>
    <xf numFmtId="0" fontId="0" fillId="26" borderId="0" xfId="0" applyFill="1" applyBorder="1"/>
    <xf numFmtId="0" fontId="0" fillId="27" borderId="0" xfId="0" applyFill="1" applyBorder="1"/>
    <xf numFmtId="0" fontId="0" fillId="28" borderId="0" xfId="0" applyFill="1" applyBorder="1"/>
    <xf numFmtId="0" fontId="0" fillId="29" borderId="0" xfId="0" applyFill="1" applyBorder="1"/>
    <xf numFmtId="0" fontId="0" fillId="5" borderId="0" xfId="0" applyFill="1" applyBorder="1"/>
    <xf numFmtId="0" fontId="0" fillId="30" borderId="0" xfId="0" applyFill="1" applyBorder="1"/>
    <xf numFmtId="0" fontId="0" fillId="31" borderId="0" xfId="0" applyFill="1" applyBorder="1"/>
    <xf numFmtId="0" fontId="0" fillId="32" borderId="0" xfId="0" applyFill="1" applyBorder="1"/>
    <xf numFmtId="0" fontId="0" fillId="33" borderId="0" xfId="0" applyFill="1" applyBorder="1"/>
    <xf numFmtId="0" fontId="0" fillId="34" borderId="0" xfId="0" applyFill="1" applyBorder="1"/>
    <xf numFmtId="0" fontId="0" fillId="35" borderId="0" xfId="0" applyFill="1" applyBorder="1"/>
    <xf numFmtId="0" fontId="0" fillId="36" borderId="0" xfId="0" applyFill="1" applyBorder="1"/>
    <xf numFmtId="0" fontId="0" fillId="37" borderId="0" xfId="0" applyFill="1" applyBorder="1"/>
    <xf numFmtId="0" fontId="0" fillId="38" borderId="0" xfId="0" applyFill="1"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49" borderId="0" xfId="0" applyFill="1" applyBorder="1"/>
    <xf numFmtId="0" fontId="0" fillId="50" borderId="0" xfId="0" applyFill="1" applyBorder="1"/>
    <xf numFmtId="0" fontId="0" fillId="51" borderId="0" xfId="0" applyFill="1" applyBorder="1"/>
    <xf numFmtId="0" fontId="0" fillId="52" borderId="0" xfId="0" applyFill="1" applyBorder="1"/>
    <xf numFmtId="0" fontId="0" fillId="53" borderId="0" xfId="0" applyFill="1" applyBorder="1"/>
    <xf numFmtId="0" fontId="0" fillId="54" borderId="0" xfId="0" applyFill="1" applyBorder="1"/>
    <xf numFmtId="0" fontId="0" fillId="3" borderId="0" xfId="0" applyFill="1" applyBorder="1"/>
    <xf numFmtId="0" fontId="0" fillId="0" borderId="7" xfId="0" applyBorder="1" applyAlignment="1">
      <alignment horizontal="center"/>
    </xf>
    <xf numFmtId="0" fontId="0" fillId="0" borderId="8" xfId="0" applyBorder="1"/>
    <xf numFmtId="0" fontId="0" fillId="0" borderId="9" xfId="0" applyBorder="1"/>
    <xf numFmtId="0" fontId="0" fillId="0" borderId="8" xfId="0" applyBorder="1" applyAlignment="1">
      <alignment horizontal="center"/>
    </xf>
    <xf numFmtId="0" fontId="2" fillId="0" borderId="8" xfId="0" applyFont="1" applyBorder="1" applyAlignment="1">
      <alignment horizontal="center"/>
    </xf>
    <xf numFmtId="0" fontId="4" fillId="0" borderId="0" xfId="0" applyFont="1"/>
    <xf numFmtId="0" fontId="0" fillId="55" borderId="1" xfId="0" applyFill="1" applyBorder="1"/>
    <xf numFmtId="0" fontId="0" fillId="0" borderId="8" xfId="0" applyFill="1" applyBorder="1"/>
    <xf numFmtId="0" fontId="1" fillId="0" borderId="0" xfId="0" applyFont="1" applyFill="1" applyBorder="1" applyAlignment="1">
      <alignment horizontal="center"/>
    </xf>
    <xf numFmtId="0" fontId="1" fillId="0" borderId="0" xfId="0" applyFont="1" applyFill="1" applyBorder="1" applyAlignment="1">
      <alignment horizontal="left"/>
    </xf>
    <xf numFmtId="0" fontId="0" fillId="0" borderId="0" xfId="0" quotePrefix="1" applyAlignment="1">
      <alignment wrapText="1"/>
    </xf>
    <xf numFmtId="0" fontId="0" fillId="0" borderId="0" xfId="0" applyAlignment="1">
      <alignment wrapText="1"/>
    </xf>
    <xf numFmtId="0" fontId="1" fillId="0" borderId="0" xfId="0" applyFont="1" applyAlignment="1">
      <alignment wrapText="1"/>
    </xf>
  </cellXfs>
  <cellStyles count="1">
    <cellStyle name="Normal" xfId="0" builtinId="0"/>
  </cellStyles>
  <dxfs count="0"/>
  <tableStyles count="0" defaultTableStyle="TableStyleMedium9" defaultPivotStyle="PivotStyleLight16"/>
  <colors>
    <mruColors>
      <color rgb="FFFEFFFF"/>
      <color rgb="FF0000FF"/>
      <color rgb="FFFFFFCC"/>
      <color rgb="FFFF0000"/>
      <color rgb="FFD40A0F"/>
      <color rgb="FF42A05B"/>
      <color rgb="FF63BE7B"/>
      <color rgb="FFF8696B"/>
      <color rgb="FFFFEB84"/>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400050</xdr:colOff>
          <xdr:row>1</xdr:row>
          <xdr:rowOff>85725</xdr:rowOff>
        </xdr:from>
        <xdr:to>
          <xdr:col>8</xdr:col>
          <xdr:colOff>161925</xdr:colOff>
          <xdr:row>4</xdr:row>
          <xdr:rowOff>180975</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B17"/>
  <sheetViews>
    <sheetView showGridLines="0" tabSelected="1" workbookViewId="0">
      <selection activeCell="B6" sqref="B6"/>
    </sheetView>
  </sheetViews>
  <sheetFormatPr defaultRowHeight="15" x14ac:dyDescent="0.25"/>
  <cols>
    <col min="1" max="1" width="4.42578125" customWidth="1"/>
    <col min="2" max="2" width="79.28515625" customWidth="1"/>
  </cols>
  <sheetData>
    <row r="2" spans="2:2" x14ac:dyDescent="0.25">
      <c r="B2" s="2" t="s">
        <v>12</v>
      </c>
    </row>
    <row r="3" spans="2:2" x14ac:dyDescent="0.25">
      <c r="B3" s="82" t="s">
        <v>17</v>
      </c>
    </row>
    <row r="4" spans="2:2" ht="60" x14ac:dyDescent="0.25">
      <c r="B4" s="82" t="s">
        <v>23</v>
      </c>
    </row>
    <row r="5" spans="2:2" x14ac:dyDescent="0.25">
      <c r="B5" s="82" t="s">
        <v>24</v>
      </c>
    </row>
    <row r="6" spans="2:2" x14ac:dyDescent="0.25">
      <c r="B6" s="83" t="s">
        <v>20</v>
      </c>
    </row>
    <row r="7" spans="2:2" x14ac:dyDescent="0.25">
      <c r="B7" s="82" t="s">
        <v>22</v>
      </c>
    </row>
    <row r="8" spans="2:2" x14ac:dyDescent="0.25">
      <c r="B8" s="83"/>
    </row>
    <row r="9" spans="2:2" ht="45" x14ac:dyDescent="0.25">
      <c r="B9" s="83" t="s">
        <v>18</v>
      </c>
    </row>
    <row r="10" spans="2:2" x14ac:dyDescent="0.25">
      <c r="B10" s="83"/>
    </row>
    <row r="11" spans="2:2" x14ac:dyDescent="0.25">
      <c r="B11" s="84" t="s">
        <v>19</v>
      </c>
    </row>
    <row r="12" spans="2:2" ht="60" x14ac:dyDescent="0.25">
      <c r="B12" s="83" t="s">
        <v>21</v>
      </c>
    </row>
    <row r="13" spans="2:2" x14ac:dyDescent="0.25">
      <c r="B13" s="83"/>
    </row>
    <row r="14" spans="2:2" x14ac:dyDescent="0.25">
      <c r="B14" s="83"/>
    </row>
    <row r="15" spans="2:2" x14ac:dyDescent="0.25">
      <c r="B15" s="83"/>
    </row>
    <row r="16" spans="2:2" x14ac:dyDescent="0.25">
      <c r="B16" s="83"/>
    </row>
    <row r="17" spans="2:2" x14ac:dyDescent="0.25">
      <c r="B17" s="8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O110"/>
  <sheetViews>
    <sheetView showGridLines="0" zoomScale="70" zoomScaleNormal="70" workbookViewId="0">
      <selection activeCell="A36" sqref="A36"/>
    </sheetView>
  </sheetViews>
  <sheetFormatPr defaultRowHeight="15" x14ac:dyDescent="0.25"/>
  <cols>
    <col min="10" max="12" width="7.7109375" customWidth="1"/>
    <col min="14" max="14" width="11.5703125" customWidth="1"/>
    <col min="15" max="15" width="12.5703125" customWidth="1"/>
  </cols>
  <sheetData>
    <row r="1" spans="2:15" x14ac:dyDescent="0.25">
      <c r="K1" s="3"/>
    </row>
    <row r="2" spans="2:15" x14ac:dyDescent="0.25">
      <c r="B2" t="s">
        <v>9</v>
      </c>
      <c r="C2" s="7">
        <v>51</v>
      </c>
      <c r="J2" s="2"/>
    </row>
    <row r="3" spans="2:15" x14ac:dyDescent="0.25">
      <c r="B3" t="s">
        <v>10</v>
      </c>
      <c r="C3" s="1" t="str">
        <f>"E11:G"&amp;10+C2</f>
        <v>E11:G61</v>
      </c>
    </row>
    <row r="4" spans="2:15" x14ac:dyDescent="0.25">
      <c r="B4" t="s">
        <v>11</v>
      </c>
      <c r="C4" s="1" t="str">
        <f>"D11:D"&amp;10+C2</f>
        <v>D11:D61</v>
      </c>
    </row>
    <row r="7" spans="2:15" ht="15.75" thickBot="1" x14ac:dyDescent="0.3"/>
    <row r="8" spans="2:15" ht="15.75" thickBot="1" x14ac:dyDescent="0.3">
      <c r="B8" s="77" t="s">
        <v>13</v>
      </c>
      <c r="D8" s="78" t="s">
        <v>16</v>
      </c>
      <c r="E8" t="s">
        <v>1</v>
      </c>
    </row>
    <row r="10" spans="2:15" ht="15.75" thickBot="1" x14ac:dyDescent="0.3">
      <c r="B10" s="4" t="s">
        <v>2</v>
      </c>
      <c r="C10" s="77" t="s">
        <v>15</v>
      </c>
      <c r="D10" t="s">
        <v>6</v>
      </c>
      <c r="E10" s="6" t="s">
        <v>5</v>
      </c>
      <c r="F10" s="6" t="s">
        <v>4</v>
      </c>
      <c r="G10" s="6" t="s">
        <v>3</v>
      </c>
      <c r="H10" s="6" t="s">
        <v>8</v>
      </c>
      <c r="I10" s="6" t="s">
        <v>7</v>
      </c>
      <c r="J10" s="5" t="s">
        <v>5</v>
      </c>
      <c r="K10" s="5" t="s">
        <v>4</v>
      </c>
      <c r="L10" s="5" t="s">
        <v>3</v>
      </c>
      <c r="M10" s="80" t="s">
        <v>0</v>
      </c>
      <c r="N10" s="81" t="s">
        <v>14</v>
      </c>
      <c r="O10" s="81" t="s">
        <v>6</v>
      </c>
    </row>
    <row r="11" spans="2:15" x14ac:dyDescent="0.25">
      <c r="B11" s="8">
        <v>1</v>
      </c>
      <c r="C11" s="9"/>
      <c r="D11" s="10" t="str">
        <f ca="1">gethexcolor(C11)</f>
        <v>FF0000</v>
      </c>
      <c r="E11" s="11">
        <f ca="1">HEX2DEC(LEFT(D11,2))</f>
        <v>255</v>
      </c>
      <c r="F11" s="11">
        <f ca="1">HEX2DEC(MID(D11,3,2))</f>
        <v>0</v>
      </c>
      <c r="G11" s="11">
        <f ca="1">HEX2DEC(RIGHT(D11,2))</f>
        <v>0</v>
      </c>
      <c r="H11" s="11">
        <f ca="1">nonMatch(D11,TRUE)</f>
        <v>1</v>
      </c>
      <c r="I11" s="11">
        <f ca="1">nonMatch(D11,FALSE)</f>
        <v>1</v>
      </c>
      <c r="J11" s="12">
        <f t="shared" ref="J11:J12" ca="1" si="0">IF($I11=$H11,E11,INDEX(INDIRECT(range),$H11,1)+ROUND(($B11-$H11)/($I11-$H11)*(INDEX(INDIRECT(range),$I11,1)-INDEX(INDIRECT(range),$H11,1)),0))</f>
        <v>255</v>
      </c>
      <c r="K11" s="12">
        <f t="shared" ref="K11:K12" ca="1" si="1">IF($I11=$H11,F11,INDEX(INDIRECT(range),$H11,2)+ROUND(($B11-$H11)/($I11-$H11)*(INDEX(INDIRECT(range),$I11,2)-INDEX(INDIRECT(range),$H11,2)),0))</f>
        <v>0</v>
      </c>
      <c r="L11" s="12">
        <f t="shared" ref="L11:L12" ca="1" si="2">IF($I11=$H11,G11,INDEX(INDIRECT(range),$H11,3)+ROUND(($B11-$H11)/($I11-$H11)*(INDEX(INDIRECT(range),$I11,3)-INDEX(INDIRECT(range),$H11,3)),0))</f>
        <v>0</v>
      </c>
      <c r="M11" s="9"/>
      <c r="N11" s="10" t="str">
        <f t="shared" ref="N11" ca="1" si="3">getnewcolor(M11)</f>
        <v>16711680</v>
      </c>
      <c r="O11" s="13" t="str">
        <f ca="1">gethexcolor(M11)</f>
        <v>FF0000</v>
      </c>
    </row>
    <row r="12" spans="2:15" x14ac:dyDescent="0.25">
      <c r="B12" s="14">
        <f>+B11+1</f>
        <v>2</v>
      </c>
      <c r="C12" s="21"/>
      <c r="D12" s="15" t="str">
        <f t="shared" ref="D12" ca="1" si="4">gethexcolor(C12)</f>
        <v>FFFFFF</v>
      </c>
      <c r="E12" s="16">
        <f t="shared" ref="E12" ca="1" si="5">HEX2DEC(LEFT(D12,2))</f>
        <v>255</v>
      </c>
      <c r="F12" s="16">
        <f t="shared" ref="F12" ca="1" si="6">HEX2DEC(MID(D12,3,2))</f>
        <v>255</v>
      </c>
      <c r="G12" s="16">
        <f t="shared" ref="G12" ca="1" si="7">HEX2DEC(RIGHT(D12,2))</f>
        <v>255</v>
      </c>
      <c r="H12" s="16">
        <f ca="1">nonMatch(D12,TRUE)</f>
        <v>1</v>
      </c>
      <c r="I12" s="16">
        <f ca="1">nonMatch(D12,FALSE)</f>
        <v>26</v>
      </c>
      <c r="J12" s="17">
        <f t="shared" ca="1" si="0"/>
        <v>254</v>
      </c>
      <c r="K12" s="17">
        <f t="shared" ca="1" si="1"/>
        <v>10</v>
      </c>
      <c r="L12" s="17">
        <f t="shared" ca="1" si="2"/>
        <v>10</v>
      </c>
      <c r="M12" s="18"/>
      <c r="N12" s="15" t="str">
        <f t="shared" ref="N12" ca="1" si="8">getnewcolor(M12)</f>
        <v>16648714</v>
      </c>
      <c r="O12" s="19" t="str">
        <f t="shared" ref="O12" ca="1" si="9">gethexcolor(M12)</f>
        <v>FE0A0A</v>
      </c>
    </row>
    <row r="13" spans="2:15" x14ac:dyDescent="0.25">
      <c r="B13" s="14">
        <f t="shared" ref="B13:B44" si="10">IFERROR(IF(B12+1&gt;steps,"",B12+1),"")</f>
        <v>3</v>
      </c>
      <c r="C13" s="21"/>
      <c r="D13" s="15" t="str">
        <f t="shared" ref="D13:D44" ca="1" si="11">IF(ROW()&gt;steps+10,"",gethexcolor(C13))</f>
        <v>FFFFFF</v>
      </c>
      <c r="E13" s="16">
        <f t="shared" ref="E13:E44" ca="1" si="12">IF(ROW()&gt;steps+10,"",HEX2DEC(LEFT(D13,2)))</f>
        <v>255</v>
      </c>
      <c r="F13" s="16">
        <f t="shared" ref="F13:F44" ca="1" si="13">IF(ROW()&gt;steps+10,"",HEX2DEC(MID(D13,3,2)))</f>
        <v>255</v>
      </c>
      <c r="G13" s="16">
        <f t="shared" ref="G13:G44" ca="1" si="14">IF(ROW()&gt;steps+10,"",HEX2DEC(RIGHT(D13,2)))</f>
        <v>255</v>
      </c>
      <c r="H13" s="16">
        <f t="shared" ref="H13:H44" ca="1" si="15">IF(ROW()&gt;steps+10,"",nonMatch(D13,TRUE))</f>
        <v>1</v>
      </c>
      <c r="I13" s="16">
        <f t="shared" ref="I13:I44" ca="1" si="16">IF(ROW()&gt;steps+10,"",nonMatch(D13,FALSE))</f>
        <v>26</v>
      </c>
      <c r="J13" s="17">
        <f t="shared" ref="J13:J44" ca="1" si="17">IF(ROW()&gt;steps+10,"",IF($I13=$H13,E13,INDEX(INDIRECT(range),$H13,1)+ROUND(($B13-$H13)/($I13-$H13)*(INDEX(INDIRECT(range),$I13,1)-INDEX(INDIRECT(range),$H13,1)),0)))</f>
        <v>254</v>
      </c>
      <c r="K13" s="17">
        <f t="shared" ref="K13:K44" ca="1" si="18">IF(ROW()&gt;steps+10,"",IF($I13=$H13,F13,INDEX(INDIRECT(range),$H13,2)+ROUND(($B13-$H13)/($I13-$H13)*(INDEX(INDIRECT(range),$I13,2)-INDEX(INDIRECT(range),$H13,2)),0)))</f>
        <v>19</v>
      </c>
      <c r="L13" s="17">
        <f t="shared" ref="L13:L44" ca="1" si="19">IF(ROW()&gt;steps+10,"",IF($I13=$H13,G13,INDEX(INDIRECT(range),$H13,3)+ROUND(($B13-$H13)/($I13-$H13)*(INDEX(INDIRECT(range),$I13,3)-INDEX(INDIRECT(range),$H13,3)),0)))</f>
        <v>19</v>
      </c>
      <c r="M13" s="20"/>
      <c r="N13" s="15" t="str">
        <f t="shared" ref="N13:N44" ca="1" si="20">IF(ROW()&gt;steps+10,"",getnewcolor(M13))</f>
        <v>16651027</v>
      </c>
      <c r="O13" s="19" t="str">
        <f t="shared" ref="O13:O44" ca="1" si="21">IF(ROW()&gt;steps+10,"",gethexcolor(M13))</f>
        <v>FE1313</v>
      </c>
    </row>
    <row r="14" spans="2:15" x14ac:dyDescent="0.25">
      <c r="B14" s="14">
        <f t="shared" si="10"/>
        <v>4</v>
      </c>
      <c r="C14" s="21"/>
      <c r="D14" s="15" t="str">
        <f t="shared" ca="1" si="11"/>
        <v>FFFFFF</v>
      </c>
      <c r="E14" s="16">
        <f t="shared" ca="1" si="12"/>
        <v>255</v>
      </c>
      <c r="F14" s="16">
        <f t="shared" ca="1" si="13"/>
        <v>255</v>
      </c>
      <c r="G14" s="16">
        <f t="shared" ca="1" si="14"/>
        <v>255</v>
      </c>
      <c r="H14" s="16">
        <f t="shared" ca="1" si="15"/>
        <v>1</v>
      </c>
      <c r="I14" s="16">
        <f t="shared" ca="1" si="16"/>
        <v>26</v>
      </c>
      <c r="J14" s="17">
        <f t="shared" ca="1" si="17"/>
        <v>253</v>
      </c>
      <c r="K14" s="17">
        <f t="shared" ca="1" si="18"/>
        <v>29</v>
      </c>
      <c r="L14" s="17">
        <f t="shared" ca="1" si="19"/>
        <v>29</v>
      </c>
      <c r="M14" s="22"/>
      <c r="N14" s="15" t="str">
        <f t="shared" ca="1" si="20"/>
        <v>16588061</v>
      </c>
      <c r="O14" s="19" t="str">
        <f t="shared" ca="1" si="21"/>
        <v>FD1D1D</v>
      </c>
    </row>
    <row r="15" spans="2:15" x14ac:dyDescent="0.25">
      <c r="B15" s="14">
        <f t="shared" si="10"/>
        <v>5</v>
      </c>
      <c r="C15" s="21"/>
      <c r="D15" s="15" t="str">
        <f t="shared" ca="1" si="11"/>
        <v>FFFFFF</v>
      </c>
      <c r="E15" s="16">
        <f t="shared" ca="1" si="12"/>
        <v>255</v>
      </c>
      <c r="F15" s="16">
        <f t="shared" ca="1" si="13"/>
        <v>255</v>
      </c>
      <c r="G15" s="16">
        <f t="shared" ca="1" si="14"/>
        <v>255</v>
      </c>
      <c r="H15" s="16">
        <f t="shared" ca="1" si="15"/>
        <v>1</v>
      </c>
      <c r="I15" s="16">
        <f t="shared" ca="1" si="16"/>
        <v>26</v>
      </c>
      <c r="J15" s="17">
        <f t="shared" ca="1" si="17"/>
        <v>253</v>
      </c>
      <c r="K15" s="17">
        <f t="shared" ca="1" si="18"/>
        <v>39</v>
      </c>
      <c r="L15" s="17">
        <f t="shared" ca="1" si="19"/>
        <v>39</v>
      </c>
      <c r="M15" s="23"/>
      <c r="N15" s="15" t="str">
        <f t="shared" ca="1" si="20"/>
        <v>16590631</v>
      </c>
      <c r="O15" s="19" t="str">
        <f t="shared" ca="1" si="21"/>
        <v>FD2727</v>
      </c>
    </row>
    <row r="16" spans="2:15" x14ac:dyDescent="0.25">
      <c r="B16" s="14">
        <f t="shared" si="10"/>
        <v>6</v>
      </c>
      <c r="C16" s="21"/>
      <c r="D16" s="15" t="str">
        <f t="shared" ca="1" si="11"/>
        <v>FFFFFF</v>
      </c>
      <c r="E16" s="16">
        <f t="shared" ca="1" si="12"/>
        <v>255</v>
      </c>
      <c r="F16" s="16">
        <f t="shared" ca="1" si="13"/>
        <v>255</v>
      </c>
      <c r="G16" s="16">
        <f t="shared" ca="1" si="14"/>
        <v>255</v>
      </c>
      <c r="H16" s="16">
        <f t="shared" ca="1" si="15"/>
        <v>1</v>
      </c>
      <c r="I16" s="16">
        <f t="shared" ca="1" si="16"/>
        <v>26</v>
      </c>
      <c r="J16" s="17">
        <f t="shared" ca="1" si="17"/>
        <v>252</v>
      </c>
      <c r="K16" s="17">
        <f t="shared" ca="1" si="18"/>
        <v>48</v>
      </c>
      <c r="L16" s="17">
        <f t="shared" ca="1" si="19"/>
        <v>48</v>
      </c>
      <c r="M16" s="24"/>
      <c r="N16" s="15" t="str">
        <f t="shared" ca="1" si="20"/>
        <v>16527408</v>
      </c>
      <c r="O16" s="19" t="str">
        <f t="shared" ca="1" si="21"/>
        <v>FC3030</v>
      </c>
    </row>
    <row r="17" spans="2:15" x14ac:dyDescent="0.25">
      <c r="B17" s="14">
        <f t="shared" si="10"/>
        <v>7</v>
      </c>
      <c r="C17" s="21"/>
      <c r="D17" s="15" t="str">
        <f t="shared" ca="1" si="11"/>
        <v>FFFFFF</v>
      </c>
      <c r="E17" s="16">
        <f t="shared" ca="1" si="12"/>
        <v>255</v>
      </c>
      <c r="F17" s="16">
        <f t="shared" ca="1" si="13"/>
        <v>255</v>
      </c>
      <c r="G17" s="16">
        <f t="shared" ca="1" si="14"/>
        <v>255</v>
      </c>
      <c r="H17" s="16">
        <f t="shared" ca="1" si="15"/>
        <v>1</v>
      </c>
      <c r="I17" s="16">
        <f t="shared" ca="1" si="16"/>
        <v>26</v>
      </c>
      <c r="J17" s="17">
        <f t="shared" ca="1" si="17"/>
        <v>252</v>
      </c>
      <c r="K17" s="17">
        <f t="shared" ca="1" si="18"/>
        <v>58</v>
      </c>
      <c r="L17" s="17">
        <f t="shared" ca="1" si="19"/>
        <v>58</v>
      </c>
      <c r="M17" s="25"/>
      <c r="N17" s="15" t="str">
        <f t="shared" ca="1" si="20"/>
        <v>16529978</v>
      </c>
      <c r="O17" s="19" t="str">
        <f t="shared" ca="1" si="21"/>
        <v>FC3A3A</v>
      </c>
    </row>
    <row r="18" spans="2:15" x14ac:dyDescent="0.25">
      <c r="B18" s="14">
        <f t="shared" si="10"/>
        <v>8</v>
      </c>
      <c r="C18" s="21"/>
      <c r="D18" s="15" t="str">
        <f t="shared" ca="1" si="11"/>
        <v>FFFFFF</v>
      </c>
      <c r="E18" s="16">
        <f t="shared" ca="1" si="12"/>
        <v>255</v>
      </c>
      <c r="F18" s="16">
        <f t="shared" ca="1" si="13"/>
        <v>255</v>
      </c>
      <c r="G18" s="16">
        <f t="shared" ca="1" si="14"/>
        <v>255</v>
      </c>
      <c r="H18" s="16">
        <f t="shared" ca="1" si="15"/>
        <v>1</v>
      </c>
      <c r="I18" s="16">
        <f t="shared" ca="1" si="16"/>
        <v>26</v>
      </c>
      <c r="J18" s="17">
        <f t="shared" ca="1" si="17"/>
        <v>251</v>
      </c>
      <c r="K18" s="17">
        <f t="shared" ca="1" si="18"/>
        <v>68</v>
      </c>
      <c r="L18" s="17">
        <f t="shared" ca="1" si="19"/>
        <v>68</v>
      </c>
      <c r="M18" s="26"/>
      <c r="N18" s="15" t="str">
        <f t="shared" ca="1" si="20"/>
        <v>16467012</v>
      </c>
      <c r="O18" s="19" t="str">
        <f t="shared" ca="1" si="21"/>
        <v>FB4444</v>
      </c>
    </row>
    <row r="19" spans="2:15" x14ac:dyDescent="0.25">
      <c r="B19" s="14">
        <f t="shared" si="10"/>
        <v>9</v>
      </c>
      <c r="C19" s="21"/>
      <c r="D19" s="15" t="str">
        <f t="shared" ca="1" si="11"/>
        <v>FFFFFF</v>
      </c>
      <c r="E19" s="16">
        <f t="shared" ca="1" si="12"/>
        <v>255</v>
      </c>
      <c r="F19" s="16">
        <f t="shared" ca="1" si="13"/>
        <v>255</v>
      </c>
      <c r="G19" s="16">
        <f t="shared" ca="1" si="14"/>
        <v>255</v>
      </c>
      <c r="H19" s="16">
        <f t="shared" ca="1" si="15"/>
        <v>1</v>
      </c>
      <c r="I19" s="16">
        <f t="shared" ca="1" si="16"/>
        <v>26</v>
      </c>
      <c r="J19" s="17">
        <f t="shared" ca="1" si="17"/>
        <v>251</v>
      </c>
      <c r="K19" s="17">
        <f t="shared" ca="1" si="18"/>
        <v>77</v>
      </c>
      <c r="L19" s="17">
        <f t="shared" ca="1" si="19"/>
        <v>77</v>
      </c>
      <c r="M19" s="27"/>
      <c r="N19" s="15" t="str">
        <f t="shared" ca="1" si="20"/>
        <v>16469325</v>
      </c>
      <c r="O19" s="19" t="str">
        <f t="shared" ca="1" si="21"/>
        <v>FB4D4D</v>
      </c>
    </row>
    <row r="20" spans="2:15" x14ac:dyDescent="0.25">
      <c r="B20" s="14">
        <f t="shared" si="10"/>
        <v>10</v>
      </c>
      <c r="C20" s="21"/>
      <c r="D20" s="15" t="str">
        <f t="shared" ca="1" si="11"/>
        <v>FFFFFF</v>
      </c>
      <c r="E20" s="16">
        <f t="shared" ca="1" si="12"/>
        <v>255</v>
      </c>
      <c r="F20" s="16">
        <f t="shared" ca="1" si="13"/>
        <v>255</v>
      </c>
      <c r="G20" s="16">
        <f t="shared" ca="1" si="14"/>
        <v>255</v>
      </c>
      <c r="H20" s="16">
        <f t="shared" ca="1" si="15"/>
        <v>1</v>
      </c>
      <c r="I20" s="16">
        <f t="shared" ca="1" si="16"/>
        <v>26</v>
      </c>
      <c r="J20" s="17">
        <f t="shared" ca="1" si="17"/>
        <v>250</v>
      </c>
      <c r="K20" s="17">
        <f t="shared" ca="1" si="18"/>
        <v>87</v>
      </c>
      <c r="L20" s="17">
        <f t="shared" ca="1" si="19"/>
        <v>87</v>
      </c>
      <c r="M20" s="28"/>
      <c r="N20" s="15" t="str">
        <f t="shared" ca="1" si="20"/>
        <v>16406359</v>
      </c>
      <c r="O20" s="19" t="str">
        <f t="shared" ca="1" si="21"/>
        <v>FA5757</v>
      </c>
    </row>
    <row r="21" spans="2:15" x14ac:dyDescent="0.25">
      <c r="B21" s="14">
        <f t="shared" si="10"/>
        <v>11</v>
      </c>
      <c r="C21" s="21"/>
      <c r="D21" s="15" t="str">
        <f t="shared" ca="1" si="11"/>
        <v>FFFFFF</v>
      </c>
      <c r="E21" s="16">
        <f t="shared" ca="1" si="12"/>
        <v>255</v>
      </c>
      <c r="F21" s="16">
        <f t="shared" ca="1" si="13"/>
        <v>255</v>
      </c>
      <c r="G21" s="16">
        <f t="shared" ca="1" si="14"/>
        <v>255</v>
      </c>
      <c r="H21" s="16">
        <f t="shared" ca="1" si="15"/>
        <v>1</v>
      </c>
      <c r="I21" s="16">
        <f t="shared" ca="1" si="16"/>
        <v>26</v>
      </c>
      <c r="J21" s="17">
        <f t="shared" ca="1" si="17"/>
        <v>250</v>
      </c>
      <c r="K21" s="17">
        <f t="shared" ca="1" si="18"/>
        <v>97</v>
      </c>
      <c r="L21" s="17">
        <f t="shared" ca="1" si="19"/>
        <v>97</v>
      </c>
      <c r="M21" s="29"/>
      <c r="N21" s="15" t="str">
        <f t="shared" ca="1" si="20"/>
        <v>16408929</v>
      </c>
      <c r="O21" s="19" t="str">
        <f t="shared" ca="1" si="21"/>
        <v>FA6161</v>
      </c>
    </row>
    <row r="22" spans="2:15" x14ac:dyDescent="0.25">
      <c r="B22" s="14">
        <f t="shared" si="10"/>
        <v>12</v>
      </c>
      <c r="C22" s="21"/>
      <c r="D22" s="15" t="str">
        <f t="shared" ca="1" si="11"/>
        <v>FFFFFF</v>
      </c>
      <c r="E22" s="16">
        <f t="shared" ca="1" si="12"/>
        <v>255</v>
      </c>
      <c r="F22" s="16">
        <f t="shared" ca="1" si="13"/>
        <v>255</v>
      </c>
      <c r="G22" s="16">
        <f t="shared" ca="1" si="14"/>
        <v>255</v>
      </c>
      <c r="H22" s="16">
        <f t="shared" ca="1" si="15"/>
        <v>1</v>
      </c>
      <c r="I22" s="16">
        <f t="shared" ca="1" si="16"/>
        <v>26</v>
      </c>
      <c r="J22" s="17">
        <f t="shared" ca="1" si="17"/>
        <v>249</v>
      </c>
      <c r="K22" s="17">
        <f t="shared" ca="1" si="18"/>
        <v>106</v>
      </c>
      <c r="L22" s="17">
        <f t="shared" ca="1" si="19"/>
        <v>106</v>
      </c>
      <c r="M22" s="30"/>
      <c r="N22" s="15" t="str">
        <f t="shared" ca="1" si="20"/>
        <v>16345706</v>
      </c>
      <c r="O22" s="19" t="str">
        <f t="shared" ca="1" si="21"/>
        <v>F96A6A</v>
      </c>
    </row>
    <row r="23" spans="2:15" x14ac:dyDescent="0.25">
      <c r="B23" s="14">
        <f t="shared" si="10"/>
        <v>13</v>
      </c>
      <c r="C23" s="21"/>
      <c r="D23" s="15" t="str">
        <f t="shared" ca="1" si="11"/>
        <v>FFFFFF</v>
      </c>
      <c r="E23" s="16">
        <f t="shared" ca="1" si="12"/>
        <v>255</v>
      </c>
      <c r="F23" s="16">
        <f t="shared" ca="1" si="13"/>
        <v>255</v>
      </c>
      <c r="G23" s="16">
        <f t="shared" ca="1" si="14"/>
        <v>255</v>
      </c>
      <c r="H23" s="16">
        <f t="shared" ca="1" si="15"/>
        <v>1</v>
      </c>
      <c r="I23" s="16">
        <f t="shared" ca="1" si="16"/>
        <v>26</v>
      </c>
      <c r="J23" s="17">
        <f t="shared" ca="1" si="17"/>
        <v>249</v>
      </c>
      <c r="K23" s="17">
        <f t="shared" ca="1" si="18"/>
        <v>116</v>
      </c>
      <c r="L23" s="17">
        <f t="shared" ca="1" si="19"/>
        <v>116</v>
      </c>
      <c r="M23" s="31"/>
      <c r="N23" s="15" t="str">
        <f t="shared" ca="1" si="20"/>
        <v>16348276</v>
      </c>
      <c r="O23" s="19" t="str">
        <f t="shared" ca="1" si="21"/>
        <v>F97474</v>
      </c>
    </row>
    <row r="24" spans="2:15" x14ac:dyDescent="0.25">
      <c r="B24" s="14">
        <f t="shared" si="10"/>
        <v>14</v>
      </c>
      <c r="C24" s="21"/>
      <c r="D24" s="15" t="str">
        <f t="shared" ca="1" si="11"/>
        <v>FFFFFF</v>
      </c>
      <c r="E24" s="16">
        <f t="shared" ca="1" si="12"/>
        <v>255</v>
      </c>
      <c r="F24" s="16">
        <f t="shared" ca="1" si="13"/>
        <v>255</v>
      </c>
      <c r="G24" s="16">
        <f t="shared" ca="1" si="14"/>
        <v>255</v>
      </c>
      <c r="H24" s="16">
        <f t="shared" ca="1" si="15"/>
        <v>1</v>
      </c>
      <c r="I24" s="16">
        <f t="shared" ca="1" si="16"/>
        <v>26</v>
      </c>
      <c r="J24" s="17">
        <f t="shared" ca="1" si="17"/>
        <v>248</v>
      </c>
      <c r="K24" s="17">
        <f t="shared" ca="1" si="18"/>
        <v>126</v>
      </c>
      <c r="L24" s="17">
        <f t="shared" ca="1" si="19"/>
        <v>126</v>
      </c>
      <c r="M24" s="32"/>
      <c r="N24" s="15" t="str">
        <f t="shared" ca="1" si="20"/>
        <v>16285310</v>
      </c>
      <c r="O24" s="19" t="str">
        <f t="shared" ca="1" si="21"/>
        <v>F87E7E</v>
      </c>
    </row>
    <row r="25" spans="2:15" x14ac:dyDescent="0.25">
      <c r="B25" s="14">
        <f t="shared" si="10"/>
        <v>15</v>
      </c>
      <c r="C25" s="33"/>
      <c r="D25" s="15" t="str">
        <f t="shared" ca="1" si="11"/>
        <v>FFFFFF</v>
      </c>
      <c r="E25" s="16">
        <f t="shared" ca="1" si="12"/>
        <v>255</v>
      </c>
      <c r="F25" s="16">
        <f t="shared" ca="1" si="13"/>
        <v>255</v>
      </c>
      <c r="G25" s="16">
        <f t="shared" ca="1" si="14"/>
        <v>255</v>
      </c>
      <c r="H25" s="16">
        <f t="shared" ca="1" si="15"/>
        <v>1</v>
      </c>
      <c r="I25" s="16">
        <f t="shared" ca="1" si="16"/>
        <v>26</v>
      </c>
      <c r="J25" s="17">
        <f t="shared" ca="1" si="17"/>
        <v>248</v>
      </c>
      <c r="K25" s="17">
        <f t="shared" ca="1" si="18"/>
        <v>136</v>
      </c>
      <c r="L25" s="17">
        <f t="shared" ca="1" si="19"/>
        <v>136</v>
      </c>
      <c r="M25" s="34"/>
      <c r="N25" s="15" t="str">
        <f t="shared" ca="1" si="20"/>
        <v>16287880</v>
      </c>
      <c r="O25" s="19" t="str">
        <f t="shared" ca="1" si="21"/>
        <v>F88888</v>
      </c>
    </row>
    <row r="26" spans="2:15" x14ac:dyDescent="0.25">
      <c r="B26" s="14">
        <f t="shared" si="10"/>
        <v>16</v>
      </c>
      <c r="C26" s="21"/>
      <c r="D26" s="15" t="str">
        <f t="shared" ca="1" si="11"/>
        <v>FFFFFF</v>
      </c>
      <c r="E26" s="16">
        <f t="shared" ca="1" si="12"/>
        <v>255</v>
      </c>
      <c r="F26" s="16">
        <f t="shared" ca="1" si="13"/>
        <v>255</v>
      </c>
      <c r="G26" s="16">
        <f t="shared" ca="1" si="14"/>
        <v>255</v>
      </c>
      <c r="H26" s="16">
        <f t="shared" ca="1" si="15"/>
        <v>1</v>
      </c>
      <c r="I26" s="16">
        <f t="shared" ca="1" si="16"/>
        <v>26</v>
      </c>
      <c r="J26" s="17">
        <f t="shared" ca="1" si="17"/>
        <v>247</v>
      </c>
      <c r="K26" s="17">
        <f t="shared" ca="1" si="18"/>
        <v>145</v>
      </c>
      <c r="L26" s="17">
        <f t="shared" ca="1" si="19"/>
        <v>145</v>
      </c>
      <c r="M26" s="35"/>
      <c r="N26" s="15" t="str">
        <f t="shared" ca="1" si="20"/>
        <v>16224657</v>
      </c>
      <c r="O26" s="19" t="str">
        <f t="shared" ca="1" si="21"/>
        <v>F79191</v>
      </c>
    </row>
    <row r="27" spans="2:15" x14ac:dyDescent="0.25">
      <c r="B27" s="14">
        <f t="shared" si="10"/>
        <v>17</v>
      </c>
      <c r="C27" s="21"/>
      <c r="D27" s="15" t="str">
        <f t="shared" ca="1" si="11"/>
        <v>FFFFFF</v>
      </c>
      <c r="E27" s="16">
        <f t="shared" ca="1" si="12"/>
        <v>255</v>
      </c>
      <c r="F27" s="16">
        <f t="shared" ca="1" si="13"/>
        <v>255</v>
      </c>
      <c r="G27" s="16">
        <f t="shared" ca="1" si="14"/>
        <v>255</v>
      </c>
      <c r="H27" s="16">
        <f t="shared" ca="1" si="15"/>
        <v>1</v>
      </c>
      <c r="I27" s="16">
        <f t="shared" ca="1" si="16"/>
        <v>26</v>
      </c>
      <c r="J27" s="17">
        <f t="shared" ca="1" si="17"/>
        <v>247</v>
      </c>
      <c r="K27" s="17">
        <f t="shared" ca="1" si="18"/>
        <v>155</v>
      </c>
      <c r="L27" s="17">
        <f t="shared" ca="1" si="19"/>
        <v>155</v>
      </c>
      <c r="M27" s="36"/>
      <c r="N27" s="15" t="str">
        <f t="shared" ca="1" si="20"/>
        <v>16227227</v>
      </c>
      <c r="O27" s="19" t="str">
        <f t="shared" ca="1" si="21"/>
        <v>F79B9B</v>
      </c>
    </row>
    <row r="28" spans="2:15" x14ac:dyDescent="0.25">
      <c r="B28" s="14">
        <f t="shared" si="10"/>
        <v>18</v>
      </c>
      <c r="C28" s="21"/>
      <c r="D28" s="15" t="str">
        <f t="shared" ca="1" si="11"/>
        <v>FFFFFF</v>
      </c>
      <c r="E28" s="16">
        <f t="shared" ca="1" si="12"/>
        <v>255</v>
      </c>
      <c r="F28" s="16">
        <f t="shared" ca="1" si="13"/>
        <v>255</v>
      </c>
      <c r="G28" s="16">
        <f t="shared" ca="1" si="14"/>
        <v>255</v>
      </c>
      <c r="H28" s="16">
        <f t="shared" ca="1" si="15"/>
        <v>1</v>
      </c>
      <c r="I28" s="16">
        <f t="shared" ca="1" si="16"/>
        <v>26</v>
      </c>
      <c r="J28" s="17">
        <f t="shared" ca="1" si="17"/>
        <v>246</v>
      </c>
      <c r="K28" s="17">
        <f t="shared" ca="1" si="18"/>
        <v>165</v>
      </c>
      <c r="L28" s="17">
        <f t="shared" ca="1" si="19"/>
        <v>165</v>
      </c>
      <c r="M28" s="37"/>
      <c r="N28" s="15" t="str">
        <f t="shared" ca="1" si="20"/>
        <v>16164261</v>
      </c>
      <c r="O28" s="19" t="str">
        <f t="shared" ca="1" si="21"/>
        <v>F6A5A5</v>
      </c>
    </row>
    <row r="29" spans="2:15" x14ac:dyDescent="0.25">
      <c r="B29" s="14">
        <f t="shared" si="10"/>
        <v>19</v>
      </c>
      <c r="C29" s="21"/>
      <c r="D29" s="15" t="str">
        <f t="shared" ca="1" si="11"/>
        <v>FFFFFF</v>
      </c>
      <c r="E29" s="16">
        <f t="shared" ca="1" si="12"/>
        <v>255</v>
      </c>
      <c r="F29" s="16">
        <f t="shared" ca="1" si="13"/>
        <v>255</v>
      </c>
      <c r="G29" s="16">
        <f t="shared" ca="1" si="14"/>
        <v>255</v>
      </c>
      <c r="H29" s="16">
        <f t="shared" ca="1" si="15"/>
        <v>1</v>
      </c>
      <c r="I29" s="16">
        <f t="shared" ca="1" si="16"/>
        <v>26</v>
      </c>
      <c r="J29" s="17">
        <f t="shared" ca="1" si="17"/>
        <v>246</v>
      </c>
      <c r="K29" s="17">
        <f t="shared" ca="1" si="18"/>
        <v>174</v>
      </c>
      <c r="L29" s="17">
        <f t="shared" ca="1" si="19"/>
        <v>174</v>
      </c>
      <c r="M29" s="38"/>
      <c r="N29" s="15" t="str">
        <f t="shared" ca="1" si="20"/>
        <v>16166574</v>
      </c>
      <c r="O29" s="19" t="str">
        <f t="shared" ca="1" si="21"/>
        <v>F6AEAE</v>
      </c>
    </row>
    <row r="30" spans="2:15" x14ac:dyDescent="0.25">
      <c r="B30" s="14">
        <f t="shared" si="10"/>
        <v>20</v>
      </c>
      <c r="C30" s="21"/>
      <c r="D30" s="15" t="str">
        <f t="shared" ca="1" si="11"/>
        <v>FFFFFF</v>
      </c>
      <c r="E30" s="16">
        <f t="shared" ca="1" si="12"/>
        <v>255</v>
      </c>
      <c r="F30" s="16">
        <f t="shared" ca="1" si="13"/>
        <v>255</v>
      </c>
      <c r="G30" s="16">
        <f t="shared" ca="1" si="14"/>
        <v>255</v>
      </c>
      <c r="H30" s="16">
        <f t="shared" ca="1" si="15"/>
        <v>1</v>
      </c>
      <c r="I30" s="16">
        <f t="shared" ca="1" si="16"/>
        <v>26</v>
      </c>
      <c r="J30" s="17">
        <f t="shared" ca="1" si="17"/>
        <v>245</v>
      </c>
      <c r="K30" s="17">
        <f t="shared" ca="1" si="18"/>
        <v>184</v>
      </c>
      <c r="L30" s="17">
        <f t="shared" ca="1" si="19"/>
        <v>184</v>
      </c>
      <c r="M30" s="39"/>
      <c r="N30" s="15" t="str">
        <f t="shared" ca="1" si="20"/>
        <v>16103608</v>
      </c>
      <c r="O30" s="19" t="str">
        <f t="shared" ca="1" si="21"/>
        <v>F5B8B8</v>
      </c>
    </row>
    <row r="31" spans="2:15" x14ac:dyDescent="0.25">
      <c r="B31" s="14">
        <f t="shared" si="10"/>
        <v>21</v>
      </c>
      <c r="C31" s="21"/>
      <c r="D31" s="15" t="str">
        <f t="shared" ca="1" si="11"/>
        <v>FFFFFF</v>
      </c>
      <c r="E31" s="16">
        <f t="shared" ca="1" si="12"/>
        <v>255</v>
      </c>
      <c r="F31" s="16">
        <f t="shared" ca="1" si="13"/>
        <v>255</v>
      </c>
      <c r="G31" s="16">
        <f t="shared" ca="1" si="14"/>
        <v>255</v>
      </c>
      <c r="H31" s="16">
        <f t="shared" ca="1" si="15"/>
        <v>1</v>
      </c>
      <c r="I31" s="16">
        <f t="shared" ca="1" si="16"/>
        <v>26</v>
      </c>
      <c r="J31" s="17">
        <f t="shared" ca="1" si="17"/>
        <v>245</v>
      </c>
      <c r="K31" s="17">
        <f t="shared" ca="1" si="18"/>
        <v>194</v>
      </c>
      <c r="L31" s="17">
        <f t="shared" ca="1" si="19"/>
        <v>194</v>
      </c>
      <c r="M31" s="40"/>
      <c r="N31" s="15" t="str">
        <f t="shared" ca="1" si="20"/>
        <v>16106178</v>
      </c>
      <c r="O31" s="19" t="str">
        <f t="shared" ca="1" si="21"/>
        <v>F5C2C2</v>
      </c>
    </row>
    <row r="32" spans="2:15" x14ac:dyDescent="0.25">
      <c r="B32" s="14">
        <f t="shared" si="10"/>
        <v>22</v>
      </c>
      <c r="C32" s="21"/>
      <c r="D32" s="15" t="str">
        <f t="shared" ca="1" si="11"/>
        <v>FFFFFF</v>
      </c>
      <c r="E32" s="16">
        <f t="shared" ca="1" si="12"/>
        <v>255</v>
      </c>
      <c r="F32" s="16">
        <f t="shared" ca="1" si="13"/>
        <v>255</v>
      </c>
      <c r="G32" s="16">
        <f t="shared" ca="1" si="14"/>
        <v>255</v>
      </c>
      <c r="H32" s="16">
        <f t="shared" ca="1" si="15"/>
        <v>1</v>
      </c>
      <c r="I32" s="16">
        <f t="shared" ca="1" si="16"/>
        <v>26</v>
      </c>
      <c r="J32" s="17">
        <f t="shared" ca="1" si="17"/>
        <v>244</v>
      </c>
      <c r="K32" s="17">
        <f t="shared" ca="1" si="18"/>
        <v>203</v>
      </c>
      <c r="L32" s="17">
        <f t="shared" ca="1" si="19"/>
        <v>203</v>
      </c>
      <c r="M32" s="41"/>
      <c r="N32" s="15" t="str">
        <f t="shared" ca="1" si="20"/>
        <v>16042955</v>
      </c>
      <c r="O32" s="19" t="str">
        <f t="shared" ca="1" si="21"/>
        <v>F4CBCB</v>
      </c>
    </row>
    <row r="33" spans="2:15" x14ac:dyDescent="0.25">
      <c r="B33" s="14">
        <f t="shared" si="10"/>
        <v>23</v>
      </c>
      <c r="C33" s="21"/>
      <c r="D33" s="15" t="str">
        <f t="shared" ca="1" si="11"/>
        <v>FFFFFF</v>
      </c>
      <c r="E33" s="16">
        <f t="shared" ca="1" si="12"/>
        <v>255</v>
      </c>
      <c r="F33" s="16">
        <f t="shared" ca="1" si="13"/>
        <v>255</v>
      </c>
      <c r="G33" s="16">
        <f t="shared" ca="1" si="14"/>
        <v>255</v>
      </c>
      <c r="H33" s="16">
        <f t="shared" ca="1" si="15"/>
        <v>1</v>
      </c>
      <c r="I33" s="16">
        <f t="shared" ca="1" si="16"/>
        <v>26</v>
      </c>
      <c r="J33" s="17">
        <f t="shared" ca="1" si="17"/>
        <v>244</v>
      </c>
      <c r="K33" s="17">
        <f t="shared" ca="1" si="18"/>
        <v>213</v>
      </c>
      <c r="L33" s="17">
        <f t="shared" ca="1" si="19"/>
        <v>213</v>
      </c>
      <c r="M33" s="42"/>
      <c r="N33" s="15" t="str">
        <f t="shared" ca="1" si="20"/>
        <v>16045525</v>
      </c>
      <c r="O33" s="19" t="str">
        <f t="shared" ca="1" si="21"/>
        <v>F4D5D5</v>
      </c>
    </row>
    <row r="34" spans="2:15" x14ac:dyDescent="0.25">
      <c r="B34" s="14">
        <f t="shared" si="10"/>
        <v>24</v>
      </c>
      <c r="C34" s="21"/>
      <c r="D34" s="15" t="str">
        <f t="shared" ca="1" si="11"/>
        <v>FFFFFF</v>
      </c>
      <c r="E34" s="16">
        <f t="shared" ca="1" si="12"/>
        <v>255</v>
      </c>
      <c r="F34" s="16">
        <f t="shared" ca="1" si="13"/>
        <v>255</v>
      </c>
      <c r="G34" s="16">
        <f t="shared" ca="1" si="14"/>
        <v>255</v>
      </c>
      <c r="H34" s="16">
        <f t="shared" ca="1" si="15"/>
        <v>1</v>
      </c>
      <c r="I34" s="16">
        <f t="shared" ca="1" si="16"/>
        <v>26</v>
      </c>
      <c r="J34" s="17">
        <f t="shared" ca="1" si="17"/>
        <v>243</v>
      </c>
      <c r="K34" s="17">
        <f t="shared" ca="1" si="18"/>
        <v>223</v>
      </c>
      <c r="L34" s="17">
        <f t="shared" ca="1" si="19"/>
        <v>223</v>
      </c>
      <c r="M34" s="43"/>
      <c r="N34" s="15" t="str">
        <f t="shared" ca="1" si="20"/>
        <v>15982559</v>
      </c>
      <c r="O34" s="19" t="str">
        <f t="shared" ca="1" si="21"/>
        <v>F3DFDF</v>
      </c>
    </row>
    <row r="35" spans="2:15" x14ac:dyDescent="0.25">
      <c r="B35" s="14">
        <f t="shared" si="10"/>
        <v>25</v>
      </c>
      <c r="C35" s="21"/>
      <c r="D35" s="15" t="str">
        <f t="shared" ca="1" si="11"/>
        <v>FFFFFF</v>
      </c>
      <c r="E35" s="16">
        <f t="shared" ca="1" si="12"/>
        <v>255</v>
      </c>
      <c r="F35" s="16">
        <f t="shared" ca="1" si="13"/>
        <v>255</v>
      </c>
      <c r="G35" s="16">
        <f t="shared" ca="1" si="14"/>
        <v>255</v>
      </c>
      <c r="H35" s="16">
        <f t="shared" ca="1" si="15"/>
        <v>1</v>
      </c>
      <c r="I35" s="16">
        <f t="shared" ca="1" si="16"/>
        <v>26</v>
      </c>
      <c r="J35" s="17">
        <f t="shared" ca="1" si="17"/>
        <v>243</v>
      </c>
      <c r="K35" s="17">
        <f t="shared" ca="1" si="18"/>
        <v>232</v>
      </c>
      <c r="L35" s="17">
        <f t="shared" ca="1" si="19"/>
        <v>232</v>
      </c>
      <c r="M35" s="44"/>
      <c r="N35" s="15" t="str">
        <f t="shared" ca="1" si="20"/>
        <v>15984872</v>
      </c>
      <c r="O35" s="19" t="str">
        <f t="shared" ca="1" si="21"/>
        <v>F3E8E8</v>
      </c>
    </row>
    <row r="36" spans="2:15" x14ac:dyDescent="0.25">
      <c r="B36" s="14">
        <f t="shared" si="10"/>
        <v>26</v>
      </c>
      <c r="C36" s="45"/>
      <c r="D36" s="15" t="str">
        <f t="shared" ca="1" si="11"/>
        <v>F2F2F2</v>
      </c>
      <c r="E36" s="16">
        <f t="shared" ca="1" si="12"/>
        <v>242</v>
      </c>
      <c r="F36" s="16">
        <f t="shared" ca="1" si="13"/>
        <v>242</v>
      </c>
      <c r="G36" s="16">
        <f t="shared" ca="1" si="14"/>
        <v>242</v>
      </c>
      <c r="H36" s="16">
        <f t="shared" ca="1" si="15"/>
        <v>26</v>
      </c>
      <c r="I36" s="16">
        <f t="shared" ca="1" si="16"/>
        <v>26</v>
      </c>
      <c r="J36" s="17">
        <f t="shared" ca="1" si="17"/>
        <v>242</v>
      </c>
      <c r="K36" s="17">
        <f t="shared" ca="1" si="18"/>
        <v>242</v>
      </c>
      <c r="L36" s="17">
        <f t="shared" ca="1" si="19"/>
        <v>242</v>
      </c>
      <c r="M36" s="46"/>
      <c r="N36" s="15" t="str">
        <f t="shared" ca="1" si="20"/>
        <v>15921906</v>
      </c>
      <c r="O36" s="19" t="str">
        <f t="shared" ca="1" si="21"/>
        <v>F2F2F2</v>
      </c>
    </row>
    <row r="37" spans="2:15" x14ac:dyDescent="0.25">
      <c r="B37" s="14">
        <f t="shared" si="10"/>
        <v>27</v>
      </c>
      <c r="C37" s="21"/>
      <c r="D37" s="15" t="str">
        <f t="shared" ca="1" si="11"/>
        <v>FFFFFF</v>
      </c>
      <c r="E37" s="16">
        <f t="shared" ca="1" si="12"/>
        <v>255</v>
      </c>
      <c r="F37" s="16">
        <f t="shared" ca="1" si="13"/>
        <v>255</v>
      </c>
      <c r="G37" s="16">
        <f t="shared" ca="1" si="14"/>
        <v>255</v>
      </c>
      <c r="H37" s="16">
        <f t="shared" ca="1" si="15"/>
        <v>26</v>
      </c>
      <c r="I37" s="16">
        <f t="shared" ca="1" si="16"/>
        <v>51</v>
      </c>
      <c r="J37" s="17">
        <f t="shared" ca="1" si="17"/>
        <v>232</v>
      </c>
      <c r="K37" s="17">
        <f t="shared" ca="1" si="18"/>
        <v>232</v>
      </c>
      <c r="L37" s="17">
        <f t="shared" ca="1" si="19"/>
        <v>243</v>
      </c>
      <c r="M37" s="47"/>
      <c r="N37" s="15" t="str">
        <f t="shared" ca="1" si="20"/>
        <v>15263987</v>
      </c>
      <c r="O37" s="19" t="str">
        <f t="shared" ca="1" si="21"/>
        <v>E8E8F3</v>
      </c>
    </row>
    <row r="38" spans="2:15" x14ac:dyDescent="0.25">
      <c r="B38" s="14">
        <f t="shared" si="10"/>
        <v>28</v>
      </c>
      <c r="C38" s="21"/>
      <c r="D38" s="15" t="str">
        <f t="shared" ca="1" si="11"/>
        <v>FFFFFF</v>
      </c>
      <c r="E38" s="16">
        <f t="shared" ca="1" si="12"/>
        <v>255</v>
      </c>
      <c r="F38" s="16">
        <f t="shared" ca="1" si="13"/>
        <v>255</v>
      </c>
      <c r="G38" s="16">
        <f t="shared" ca="1" si="14"/>
        <v>255</v>
      </c>
      <c r="H38" s="16">
        <f t="shared" ca="1" si="15"/>
        <v>26</v>
      </c>
      <c r="I38" s="16">
        <f t="shared" ca="1" si="16"/>
        <v>51</v>
      </c>
      <c r="J38" s="17">
        <f t="shared" ca="1" si="17"/>
        <v>223</v>
      </c>
      <c r="K38" s="17">
        <f t="shared" ca="1" si="18"/>
        <v>223</v>
      </c>
      <c r="L38" s="17">
        <f t="shared" ca="1" si="19"/>
        <v>243</v>
      </c>
      <c r="M38" s="48"/>
      <c r="N38" s="15" t="str">
        <f t="shared" ca="1" si="20"/>
        <v>14671859</v>
      </c>
      <c r="O38" s="19" t="str">
        <f t="shared" ca="1" si="21"/>
        <v>DFDFF3</v>
      </c>
    </row>
    <row r="39" spans="2:15" x14ac:dyDescent="0.25">
      <c r="B39" s="14">
        <f t="shared" si="10"/>
        <v>29</v>
      </c>
      <c r="C39" s="21"/>
      <c r="D39" s="15" t="str">
        <f t="shared" ca="1" si="11"/>
        <v>FFFFFF</v>
      </c>
      <c r="E39" s="16">
        <f t="shared" ca="1" si="12"/>
        <v>255</v>
      </c>
      <c r="F39" s="16">
        <f t="shared" ca="1" si="13"/>
        <v>255</v>
      </c>
      <c r="G39" s="16">
        <f t="shared" ca="1" si="14"/>
        <v>255</v>
      </c>
      <c r="H39" s="16">
        <f t="shared" ca="1" si="15"/>
        <v>26</v>
      </c>
      <c r="I39" s="16">
        <f t="shared" ca="1" si="16"/>
        <v>51</v>
      </c>
      <c r="J39" s="17">
        <f t="shared" ca="1" si="17"/>
        <v>213</v>
      </c>
      <c r="K39" s="17">
        <f t="shared" ca="1" si="18"/>
        <v>213</v>
      </c>
      <c r="L39" s="17">
        <f t="shared" ca="1" si="19"/>
        <v>244</v>
      </c>
      <c r="M39" s="49"/>
      <c r="N39" s="15" t="str">
        <f t="shared" ca="1" si="20"/>
        <v>14013940</v>
      </c>
      <c r="O39" s="19" t="str">
        <f t="shared" ca="1" si="21"/>
        <v>D5D5F4</v>
      </c>
    </row>
    <row r="40" spans="2:15" x14ac:dyDescent="0.25">
      <c r="B40" s="14">
        <f t="shared" si="10"/>
        <v>30</v>
      </c>
      <c r="C40" s="21"/>
      <c r="D40" s="15" t="str">
        <f t="shared" ca="1" si="11"/>
        <v>FFFFFF</v>
      </c>
      <c r="E40" s="16">
        <f t="shared" ca="1" si="12"/>
        <v>255</v>
      </c>
      <c r="F40" s="16">
        <f t="shared" ca="1" si="13"/>
        <v>255</v>
      </c>
      <c r="G40" s="16">
        <f t="shared" ca="1" si="14"/>
        <v>255</v>
      </c>
      <c r="H40" s="16">
        <f t="shared" ca="1" si="15"/>
        <v>26</v>
      </c>
      <c r="I40" s="16">
        <f t="shared" ca="1" si="16"/>
        <v>51</v>
      </c>
      <c r="J40" s="17">
        <f t="shared" ca="1" si="17"/>
        <v>203</v>
      </c>
      <c r="K40" s="17">
        <f t="shared" ca="1" si="18"/>
        <v>203</v>
      </c>
      <c r="L40" s="17">
        <f t="shared" ca="1" si="19"/>
        <v>244</v>
      </c>
      <c r="M40" s="50"/>
      <c r="N40" s="15" t="str">
        <f t="shared" ca="1" si="20"/>
        <v>13356020</v>
      </c>
      <c r="O40" s="19" t="str">
        <f t="shared" ca="1" si="21"/>
        <v>CBCBF4</v>
      </c>
    </row>
    <row r="41" spans="2:15" x14ac:dyDescent="0.25">
      <c r="B41" s="14">
        <f t="shared" si="10"/>
        <v>31</v>
      </c>
      <c r="C41" s="21"/>
      <c r="D41" s="15" t="str">
        <f t="shared" ca="1" si="11"/>
        <v>FFFFFF</v>
      </c>
      <c r="E41" s="16">
        <f t="shared" ca="1" si="12"/>
        <v>255</v>
      </c>
      <c r="F41" s="16">
        <f t="shared" ca="1" si="13"/>
        <v>255</v>
      </c>
      <c r="G41" s="16">
        <f t="shared" ca="1" si="14"/>
        <v>255</v>
      </c>
      <c r="H41" s="16">
        <f t="shared" ca="1" si="15"/>
        <v>26</v>
      </c>
      <c r="I41" s="16">
        <f t="shared" ca="1" si="16"/>
        <v>51</v>
      </c>
      <c r="J41" s="17">
        <f t="shared" ca="1" si="17"/>
        <v>194</v>
      </c>
      <c r="K41" s="17">
        <f t="shared" ca="1" si="18"/>
        <v>194</v>
      </c>
      <c r="L41" s="17">
        <f t="shared" ca="1" si="19"/>
        <v>245</v>
      </c>
      <c r="M41" s="51"/>
      <c r="N41" s="15" t="str">
        <f t="shared" ca="1" si="20"/>
        <v>12763893</v>
      </c>
      <c r="O41" s="19" t="str">
        <f t="shared" ca="1" si="21"/>
        <v>C2C2F5</v>
      </c>
    </row>
    <row r="42" spans="2:15" x14ac:dyDescent="0.25">
      <c r="B42" s="14">
        <f t="shared" si="10"/>
        <v>32</v>
      </c>
      <c r="C42" s="21"/>
      <c r="D42" s="15" t="str">
        <f t="shared" ca="1" si="11"/>
        <v>FFFFFF</v>
      </c>
      <c r="E42" s="16">
        <f t="shared" ca="1" si="12"/>
        <v>255</v>
      </c>
      <c r="F42" s="16">
        <f t="shared" ca="1" si="13"/>
        <v>255</v>
      </c>
      <c r="G42" s="16">
        <f t="shared" ca="1" si="14"/>
        <v>255</v>
      </c>
      <c r="H42" s="16">
        <f t="shared" ca="1" si="15"/>
        <v>26</v>
      </c>
      <c r="I42" s="16">
        <f t="shared" ca="1" si="16"/>
        <v>51</v>
      </c>
      <c r="J42" s="17">
        <f t="shared" ca="1" si="17"/>
        <v>184</v>
      </c>
      <c r="K42" s="17">
        <f t="shared" ca="1" si="18"/>
        <v>184</v>
      </c>
      <c r="L42" s="17">
        <f t="shared" ca="1" si="19"/>
        <v>245</v>
      </c>
      <c r="M42" s="52"/>
      <c r="N42" s="15" t="str">
        <f t="shared" ca="1" si="20"/>
        <v>12105973</v>
      </c>
      <c r="O42" s="19" t="str">
        <f t="shared" ca="1" si="21"/>
        <v>B8B8F5</v>
      </c>
    </row>
    <row r="43" spans="2:15" x14ac:dyDescent="0.25">
      <c r="B43" s="14">
        <f t="shared" si="10"/>
        <v>33</v>
      </c>
      <c r="C43" s="21"/>
      <c r="D43" s="15" t="str">
        <f t="shared" ca="1" si="11"/>
        <v>FFFFFF</v>
      </c>
      <c r="E43" s="16">
        <f t="shared" ca="1" si="12"/>
        <v>255</v>
      </c>
      <c r="F43" s="16">
        <f t="shared" ca="1" si="13"/>
        <v>255</v>
      </c>
      <c r="G43" s="16">
        <f t="shared" ca="1" si="14"/>
        <v>255</v>
      </c>
      <c r="H43" s="16">
        <f t="shared" ca="1" si="15"/>
        <v>26</v>
      </c>
      <c r="I43" s="16">
        <f t="shared" ca="1" si="16"/>
        <v>51</v>
      </c>
      <c r="J43" s="17">
        <f t="shared" ca="1" si="17"/>
        <v>174</v>
      </c>
      <c r="K43" s="17">
        <f t="shared" ca="1" si="18"/>
        <v>174</v>
      </c>
      <c r="L43" s="17">
        <f t="shared" ca="1" si="19"/>
        <v>246</v>
      </c>
      <c r="M43" s="53"/>
      <c r="N43" s="15" t="str">
        <f t="shared" ca="1" si="20"/>
        <v>11448054</v>
      </c>
      <c r="O43" s="19" t="str">
        <f t="shared" ca="1" si="21"/>
        <v>AEAEF6</v>
      </c>
    </row>
    <row r="44" spans="2:15" x14ac:dyDescent="0.25">
      <c r="B44" s="14">
        <f t="shared" si="10"/>
        <v>34</v>
      </c>
      <c r="C44" s="21"/>
      <c r="D44" s="15" t="str">
        <f t="shared" ca="1" si="11"/>
        <v>FFFFFF</v>
      </c>
      <c r="E44" s="16">
        <f t="shared" ca="1" si="12"/>
        <v>255</v>
      </c>
      <c r="F44" s="16">
        <f t="shared" ca="1" si="13"/>
        <v>255</v>
      </c>
      <c r="G44" s="16">
        <f t="shared" ca="1" si="14"/>
        <v>255</v>
      </c>
      <c r="H44" s="16">
        <f t="shared" ca="1" si="15"/>
        <v>26</v>
      </c>
      <c r="I44" s="16">
        <f t="shared" ca="1" si="16"/>
        <v>51</v>
      </c>
      <c r="J44" s="17">
        <f t="shared" ca="1" si="17"/>
        <v>165</v>
      </c>
      <c r="K44" s="17">
        <f t="shared" ca="1" si="18"/>
        <v>165</v>
      </c>
      <c r="L44" s="17">
        <f t="shared" ca="1" si="19"/>
        <v>246</v>
      </c>
      <c r="M44" s="54"/>
      <c r="N44" s="15" t="str">
        <f t="shared" ca="1" si="20"/>
        <v>10855926</v>
      </c>
      <c r="O44" s="19" t="str">
        <f t="shared" ca="1" si="21"/>
        <v>A5A5F6</v>
      </c>
    </row>
    <row r="45" spans="2:15" x14ac:dyDescent="0.25">
      <c r="B45" s="14">
        <f t="shared" ref="B45:B76" si="22">IFERROR(IF(B44+1&gt;steps,"",B44+1),"")</f>
        <v>35</v>
      </c>
      <c r="C45" s="21"/>
      <c r="D45" s="15" t="str">
        <f t="shared" ref="D45:D76" ca="1" si="23">IF(ROW()&gt;steps+10,"",gethexcolor(C45))</f>
        <v>FFFFFF</v>
      </c>
      <c r="E45" s="16">
        <f t="shared" ref="E45:E76" ca="1" si="24">IF(ROW()&gt;steps+10,"",HEX2DEC(LEFT(D45,2)))</f>
        <v>255</v>
      </c>
      <c r="F45" s="16">
        <f t="shared" ref="F45:F76" ca="1" si="25">IF(ROW()&gt;steps+10,"",HEX2DEC(MID(D45,3,2)))</f>
        <v>255</v>
      </c>
      <c r="G45" s="16">
        <f t="shared" ref="G45:G76" ca="1" si="26">IF(ROW()&gt;steps+10,"",HEX2DEC(RIGHT(D45,2)))</f>
        <v>255</v>
      </c>
      <c r="H45" s="16">
        <f t="shared" ref="H45:H76" ca="1" si="27">IF(ROW()&gt;steps+10,"",nonMatch(D45,TRUE))</f>
        <v>26</v>
      </c>
      <c r="I45" s="16">
        <f t="shared" ref="I45:I76" ca="1" si="28">IF(ROW()&gt;steps+10,"",nonMatch(D45,FALSE))</f>
        <v>51</v>
      </c>
      <c r="J45" s="17">
        <f t="shared" ref="J45:J76" ca="1" si="29">IF(ROW()&gt;steps+10,"",IF($I45=$H45,E45,INDEX(INDIRECT(range),$H45,1)+ROUND(($B45-$H45)/($I45-$H45)*(INDEX(INDIRECT(range),$I45,1)-INDEX(INDIRECT(range),$H45,1)),0)))</f>
        <v>155</v>
      </c>
      <c r="K45" s="17">
        <f t="shared" ref="K45:K76" ca="1" si="30">IF(ROW()&gt;steps+10,"",IF($I45=$H45,F45,INDEX(INDIRECT(range),$H45,2)+ROUND(($B45-$H45)/($I45-$H45)*(INDEX(INDIRECT(range),$I45,2)-INDEX(INDIRECT(range),$H45,2)),0)))</f>
        <v>155</v>
      </c>
      <c r="L45" s="17">
        <f t="shared" ref="L45:L76" ca="1" si="31">IF(ROW()&gt;steps+10,"",IF($I45=$H45,G45,INDEX(INDIRECT(range),$H45,3)+ROUND(($B45-$H45)/($I45-$H45)*(INDEX(INDIRECT(range),$I45,3)-INDEX(INDIRECT(range),$H45,3)),0)))</f>
        <v>247</v>
      </c>
      <c r="M45" s="55"/>
      <c r="N45" s="15" t="str">
        <f t="shared" ref="N45:N76" ca="1" si="32">IF(ROW()&gt;steps+10,"",getnewcolor(M45))</f>
        <v>10198007</v>
      </c>
      <c r="O45" s="19" t="str">
        <f t="shared" ref="O45:O76" ca="1" si="33">IF(ROW()&gt;steps+10,"",gethexcolor(M45))</f>
        <v>9B9BF7</v>
      </c>
    </row>
    <row r="46" spans="2:15" x14ac:dyDescent="0.25">
      <c r="B46" s="14">
        <f t="shared" si="22"/>
        <v>36</v>
      </c>
      <c r="C46" s="21"/>
      <c r="D46" s="15" t="str">
        <f t="shared" ca="1" si="23"/>
        <v>FFFFFF</v>
      </c>
      <c r="E46" s="16">
        <f t="shared" ca="1" si="24"/>
        <v>255</v>
      </c>
      <c r="F46" s="16">
        <f t="shared" ca="1" si="25"/>
        <v>255</v>
      </c>
      <c r="G46" s="16">
        <f t="shared" ca="1" si="26"/>
        <v>255</v>
      </c>
      <c r="H46" s="16">
        <f t="shared" ca="1" si="27"/>
        <v>26</v>
      </c>
      <c r="I46" s="16">
        <f t="shared" ca="1" si="28"/>
        <v>51</v>
      </c>
      <c r="J46" s="17">
        <f t="shared" ca="1" si="29"/>
        <v>145</v>
      </c>
      <c r="K46" s="17">
        <f t="shared" ca="1" si="30"/>
        <v>145</v>
      </c>
      <c r="L46" s="17">
        <f t="shared" ca="1" si="31"/>
        <v>247</v>
      </c>
      <c r="M46" s="56"/>
      <c r="N46" s="15" t="str">
        <f t="shared" ca="1" si="32"/>
        <v>9540087</v>
      </c>
      <c r="O46" s="19" t="str">
        <f t="shared" ca="1" si="33"/>
        <v>9191F7</v>
      </c>
    </row>
    <row r="47" spans="2:15" x14ac:dyDescent="0.25">
      <c r="B47" s="14">
        <f t="shared" si="22"/>
        <v>37</v>
      </c>
      <c r="C47" s="21"/>
      <c r="D47" s="15" t="str">
        <f t="shared" ca="1" si="23"/>
        <v>FFFFFF</v>
      </c>
      <c r="E47" s="16">
        <f t="shared" ca="1" si="24"/>
        <v>255</v>
      </c>
      <c r="F47" s="16">
        <f t="shared" ca="1" si="25"/>
        <v>255</v>
      </c>
      <c r="G47" s="16">
        <f t="shared" ca="1" si="26"/>
        <v>255</v>
      </c>
      <c r="H47" s="16">
        <f t="shared" ca="1" si="27"/>
        <v>26</v>
      </c>
      <c r="I47" s="16">
        <f t="shared" ca="1" si="28"/>
        <v>51</v>
      </c>
      <c r="J47" s="17">
        <f t="shared" ca="1" si="29"/>
        <v>136</v>
      </c>
      <c r="K47" s="17">
        <f t="shared" ca="1" si="30"/>
        <v>136</v>
      </c>
      <c r="L47" s="17">
        <f t="shared" ca="1" si="31"/>
        <v>248</v>
      </c>
      <c r="M47" s="57"/>
      <c r="N47" s="15" t="str">
        <f t="shared" ca="1" si="32"/>
        <v>8947960</v>
      </c>
      <c r="O47" s="19" t="str">
        <f t="shared" ca="1" si="33"/>
        <v>8888F8</v>
      </c>
    </row>
    <row r="48" spans="2:15" x14ac:dyDescent="0.25">
      <c r="B48" s="14">
        <f t="shared" si="22"/>
        <v>38</v>
      </c>
      <c r="C48" s="21"/>
      <c r="D48" s="15" t="str">
        <f t="shared" ca="1" si="23"/>
        <v>FFFFFF</v>
      </c>
      <c r="E48" s="16">
        <f t="shared" ca="1" si="24"/>
        <v>255</v>
      </c>
      <c r="F48" s="16">
        <f t="shared" ca="1" si="25"/>
        <v>255</v>
      </c>
      <c r="G48" s="16">
        <f t="shared" ca="1" si="26"/>
        <v>255</v>
      </c>
      <c r="H48" s="16">
        <f t="shared" ca="1" si="27"/>
        <v>26</v>
      </c>
      <c r="I48" s="16">
        <f t="shared" ca="1" si="28"/>
        <v>51</v>
      </c>
      <c r="J48" s="17">
        <f t="shared" ca="1" si="29"/>
        <v>126</v>
      </c>
      <c r="K48" s="17">
        <f t="shared" ca="1" si="30"/>
        <v>126</v>
      </c>
      <c r="L48" s="17">
        <f t="shared" ca="1" si="31"/>
        <v>248</v>
      </c>
      <c r="M48" s="58"/>
      <c r="N48" s="15" t="str">
        <f t="shared" ca="1" si="32"/>
        <v>8290040</v>
      </c>
      <c r="O48" s="19" t="str">
        <f t="shared" ca="1" si="33"/>
        <v>7E7EF8</v>
      </c>
    </row>
    <row r="49" spans="2:15" x14ac:dyDescent="0.25">
      <c r="B49" s="14">
        <f t="shared" si="22"/>
        <v>39</v>
      </c>
      <c r="C49" s="21"/>
      <c r="D49" s="15" t="str">
        <f t="shared" ca="1" si="23"/>
        <v>FFFFFF</v>
      </c>
      <c r="E49" s="16">
        <f t="shared" ca="1" si="24"/>
        <v>255</v>
      </c>
      <c r="F49" s="16">
        <f t="shared" ca="1" si="25"/>
        <v>255</v>
      </c>
      <c r="G49" s="16">
        <f t="shared" ca="1" si="26"/>
        <v>255</v>
      </c>
      <c r="H49" s="16">
        <f t="shared" ca="1" si="27"/>
        <v>26</v>
      </c>
      <c r="I49" s="16">
        <f t="shared" ca="1" si="28"/>
        <v>51</v>
      </c>
      <c r="J49" s="17">
        <f t="shared" ca="1" si="29"/>
        <v>116</v>
      </c>
      <c r="K49" s="17">
        <f t="shared" ca="1" si="30"/>
        <v>116</v>
      </c>
      <c r="L49" s="17">
        <f t="shared" ca="1" si="31"/>
        <v>249</v>
      </c>
      <c r="M49" s="59"/>
      <c r="N49" s="15" t="str">
        <f t="shared" ca="1" si="32"/>
        <v>7632121</v>
      </c>
      <c r="O49" s="19" t="str">
        <f t="shared" ca="1" si="33"/>
        <v>7474F9</v>
      </c>
    </row>
    <row r="50" spans="2:15" x14ac:dyDescent="0.25">
      <c r="B50" s="14">
        <f t="shared" si="22"/>
        <v>40</v>
      </c>
      <c r="C50" s="21"/>
      <c r="D50" s="15" t="str">
        <f t="shared" ca="1" si="23"/>
        <v>FFFFFF</v>
      </c>
      <c r="E50" s="16">
        <f t="shared" ca="1" si="24"/>
        <v>255</v>
      </c>
      <c r="F50" s="16">
        <f t="shared" ca="1" si="25"/>
        <v>255</v>
      </c>
      <c r="G50" s="16">
        <f t="shared" ca="1" si="26"/>
        <v>255</v>
      </c>
      <c r="H50" s="16">
        <f t="shared" ca="1" si="27"/>
        <v>26</v>
      </c>
      <c r="I50" s="16">
        <f t="shared" ca="1" si="28"/>
        <v>51</v>
      </c>
      <c r="J50" s="17">
        <f t="shared" ca="1" si="29"/>
        <v>106</v>
      </c>
      <c r="K50" s="17">
        <f t="shared" ca="1" si="30"/>
        <v>106</v>
      </c>
      <c r="L50" s="17">
        <f t="shared" ca="1" si="31"/>
        <v>249</v>
      </c>
      <c r="M50" s="60"/>
      <c r="N50" s="15" t="str">
        <f t="shared" ca="1" si="32"/>
        <v>6974201</v>
      </c>
      <c r="O50" s="19" t="str">
        <f t="shared" ca="1" si="33"/>
        <v>6A6AF9</v>
      </c>
    </row>
    <row r="51" spans="2:15" x14ac:dyDescent="0.25">
      <c r="B51" s="14">
        <f t="shared" si="22"/>
        <v>41</v>
      </c>
      <c r="C51" s="21"/>
      <c r="D51" s="15" t="str">
        <f t="shared" ca="1" si="23"/>
        <v>FFFFFF</v>
      </c>
      <c r="E51" s="16">
        <f t="shared" ca="1" si="24"/>
        <v>255</v>
      </c>
      <c r="F51" s="16">
        <f t="shared" ca="1" si="25"/>
        <v>255</v>
      </c>
      <c r="G51" s="16">
        <f t="shared" ca="1" si="26"/>
        <v>255</v>
      </c>
      <c r="H51" s="16">
        <f t="shared" ca="1" si="27"/>
        <v>26</v>
      </c>
      <c r="I51" s="16">
        <f t="shared" ca="1" si="28"/>
        <v>51</v>
      </c>
      <c r="J51" s="17">
        <f t="shared" ca="1" si="29"/>
        <v>97</v>
      </c>
      <c r="K51" s="17">
        <f t="shared" ca="1" si="30"/>
        <v>97</v>
      </c>
      <c r="L51" s="17">
        <f t="shared" ca="1" si="31"/>
        <v>250</v>
      </c>
      <c r="M51" s="61"/>
      <c r="N51" s="15" t="str">
        <f t="shared" ca="1" si="32"/>
        <v>6382074</v>
      </c>
      <c r="O51" s="19" t="str">
        <f t="shared" ca="1" si="33"/>
        <v>6161FA</v>
      </c>
    </row>
    <row r="52" spans="2:15" x14ac:dyDescent="0.25">
      <c r="B52" s="14">
        <f t="shared" si="22"/>
        <v>42</v>
      </c>
      <c r="C52" s="21"/>
      <c r="D52" s="15" t="str">
        <f t="shared" ca="1" si="23"/>
        <v>FFFFFF</v>
      </c>
      <c r="E52" s="16">
        <f t="shared" ca="1" si="24"/>
        <v>255</v>
      </c>
      <c r="F52" s="16">
        <f t="shared" ca="1" si="25"/>
        <v>255</v>
      </c>
      <c r="G52" s="16">
        <f t="shared" ca="1" si="26"/>
        <v>255</v>
      </c>
      <c r="H52" s="16">
        <f t="shared" ca="1" si="27"/>
        <v>26</v>
      </c>
      <c r="I52" s="16">
        <f t="shared" ca="1" si="28"/>
        <v>51</v>
      </c>
      <c r="J52" s="17">
        <f t="shared" ca="1" si="29"/>
        <v>87</v>
      </c>
      <c r="K52" s="17">
        <f t="shared" ca="1" si="30"/>
        <v>87</v>
      </c>
      <c r="L52" s="17">
        <f t="shared" ca="1" si="31"/>
        <v>250</v>
      </c>
      <c r="M52" s="62"/>
      <c r="N52" s="15" t="str">
        <f t="shared" ca="1" si="32"/>
        <v>5724154</v>
      </c>
      <c r="O52" s="19" t="str">
        <f t="shared" ca="1" si="33"/>
        <v>5757FA</v>
      </c>
    </row>
    <row r="53" spans="2:15" x14ac:dyDescent="0.25">
      <c r="B53" s="14">
        <f t="shared" si="22"/>
        <v>43</v>
      </c>
      <c r="C53" s="21"/>
      <c r="D53" s="15" t="str">
        <f t="shared" ca="1" si="23"/>
        <v>FFFFFF</v>
      </c>
      <c r="E53" s="16">
        <f t="shared" ca="1" si="24"/>
        <v>255</v>
      </c>
      <c r="F53" s="16">
        <f t="shared" ca="1" si="25"/>
        <v>255</v>
      </c>
      <c r="G53" s="16">
        <f t="shared" ca="1" si="26"/>
        <v>255</v>
      </c>
      <c r="H53" s="16">
        <f t="shared" ca="1" si="27"/>
        <v>26</v>
      </c>
      <c r="I53" s="16">
        <f t="shared" ca="1" si="28"/>
        <v>51</v>
      </c>
      <c r="J53" s="17">
        <f t="shared" ca="1" si="29"/>
        <v>77</v>
      </c>
      <c r="K53" s="17">
        <f t="shared" ca="1" si="30"/>
        <v>77</v>
      </c>
      <c r="L53" s="17">
        <f t="shared" ca="1" si="31"/>
        <v>251</v>
      </c>
      <c r="M53" s="63"/>
      <c r="N53" s="15" t="str">
        <f t="shared" ca="1" si="32"/>
        <v>5066235</v>
      </c>
      <c r="O53" s="19" t="str">
        <f t="shared" ca="1" si="33"/>
        <v>4D4DFB</v>
      </c>
    </row>
    <row r="54" spans="2:15" x14ac:dyDescent="0.25">
      <c r="B54" s="14">
        <f t="shared" si="22"/>
        <v>44</v>
      </c>
      <c r="C54" s="21"/>
      <c r="D54" s="15" t="str">
        <f t="shared" ca="1" si="23"/>
        <v>FFFFFF</v>
      </c>
      <c r="E54" s="16">
        <f t="shared" ca="1" si="24"/>
        <v>255</v>
      </c>
      <c r="F54" s="16">
        <f t="shared" ca="1" si="25"/>
        <v>255</v>
      </c>
      <c r="G54" s="16">
        <f t="shared" ca="1" si="26"/>
        <v>255</v>
      </c>
      <c r="H54" s="16">
        <f t="shared" ca="1" si="27"/>
        <v>26</v>
      </c>
      <c r="I54" s="16">
        <f t="shared" ca="1" si="28"/>
        <v>51</v>
      </c>
      <c r="J54" s="17">
        <f t="shared" ca="1" si="29"/>
        <v>68</v>
      </c>
      <c r="K54" s="17">
        <f t="shared" ca="1" si="30"/>
        <v>68</v>
      </c>
      <c r="L54" s="17">
        <f t="shared" ca="1" si="31"/>
        <v>251</v>
      </c>
      <c r="M54" s="64"/>
      <c r="N54" s="15" t="str">
        <f t="shared" ca="1" si="32"/>
        <v>4474107</v>
      </c>
      <c r="O54" s="19" t="str">
        <f t="shared" ca="1" si="33"/>
        <v>4444FB</v>
      </c>
    </row>
    <row r="55" spans="2:15" x14ac:dyDescent="0.25">
      <c r="B55" s="14">
        <f t="shared" si="22"/>
        <v>45</v>
      </c>
      <c r="C55" s="21"/>
      <c r="D55" s="15" t="str">
        <f t="shared" ca="1" si="23"/>
        <v>FFFFFF</v>
      </c>
      <c r="E55" s="16">
        <f t="shared" ca="1" si="24"/>
        <v>255</v>
      </c>
      <c r="F55" s="16">
        <f t="shared" ca="1" si="25"/>
        <v>255</v>
      </c>
      <c r="G55" s="16">
        <f t="shared" ca="1" si="26"/>
        <v>255</v>
      </c>
      <c r="H55" s="16">
        <f t="shared" ca="1" si="27"/>
        <v>26</v>
      </c>
      <c r="I55" s="16">
        <f t="shared" ca="1" si="28"/>
        <v>51</v>
      </c>
      <c r="J55" s="17">
        <f t="shared" ca="1" si="29"/>
        <v>58</v>
      </c>
      <c r="K55" s="17">
        <f t="shared" ca="1" si="30"/>
        <v>58</v>
      </c>
      <c r="L55" s="17">
        <f t="shared" ca="1" si="31"/>
        <v>252</v>
      </c>
      <c r="M55" s="65"/>
      <c r="N55" s="15" t="str">
        <f t="shared" ca="1" si="32"/>
        <v>3816188</v>
      </c>
      <c r="O55" s="19" t="str">
        <f t="shared" ca="1" si="33"/>
        <v>3A3AFC</v>
      </c>
    </row>
    <row r="56" spans="2:15" x14ac:dyDescent="0.25">
      <c r="B56" s="14">
        <f t="shared" si="22"/>
        <v>46</v>
      </c>
      <c r="C56" s="21"/>
      <c r="D56" s="15" t="str">
        <f t="shared" ca="1" si="23"/>
        <v>FFFFFF</v>
      </c>
      <c r="E56" s="16">
        <f t="shared" ca="1" si="24"/>
        <v>255</v>
      </c>
      <c r="F56" s="16">
        <f t="shared" ca="1" si="25"/>
        <v>255</v>
      </c>
      <c r="G56" s="16">
        <f t="shared" ca="1" si="26"/>
        <v>255</v>
      </c>
      <c r="H56" s="16">
        <f t="shared" ca="1" si="27"/>
        <v>26</v>
      </c>
      <c r="I56" s="16">
        <f t="shared" ca="1" si="28"/>
        <v>51</v>
      </c>
      <c r="J56" s="17">
        <f t="shared" ca="1" si="29"/>
        <v>48</v>
      </c>
      <c r="K56" s="17">
        <f t="shared" ca="1" si="30"/>
        <v>48</v>
      </c>
      <c r="L56" s="17">
        <f t="shared" ca="1" si="31"/>
        <v>252</v>
      </c>
      <c r="M56" s="66"/>
      <c r="N56" s="15" t="str">
        <f t="shared" ca="1" si="32"/>
        <v>3158268</v>
      </c>
      <c r="O56" s="19" t="str">
        <f t="shared" ca="1" si="33"/>
        <v>3030FC</v>
      </c>
    </row>
    <row r="57" spans="2:15" x14ac:dyDescent="0.25">
      <c r="B57" s="14">
        <f t="shared" si="22"/>
        <v>47</v>
      </c>
      <c r="C57" s="21"/>
      <c r="D57" s="15" t="str">
        <f t="shared" ca="1" si="23"/>
        <v>FFFFFF</v>
      </c>
      <c r="E57" s="16">
        <f t="shared" ca="1" si="24"/>
        <v>255</v>
      </c>
      <c r="F57" s="16">
        <f t="shared" ca="1" si="25"/>
        <v>255</v>
      </c>
      <c r="G57" s="16">
        <f t="shared" ca="1" si="26"/>
        <v>255</v>
      </c>
      <c r="H57" s="16">
        <f t="shared" ca="1" si="27"/>
        <v>26</v>
      </c>
      <c r="I57" s="16">
        <f t="shared" ca="1" si="28"/>
        <v>51</v>
      </c>
      <c r="J57" s="17">
        <f t="shared" ca="1" si="29"/>
        <v>39</v>
      </c>
      <c r="K57" s="17">
        <f t="shared" ca="1" si="30"/>
        <v>39</v>
      </c>
      <c r="L57" s="17">
        <f t="shared" ca="1" si="31"/>
        <v>253</v>
      </c>
      <c r="M57" s="67"/>
      <c r="N57" s="15" t="str">
        <f t="shared" ca="1" si="32"/>
        <v>2566141</v>
      </c>
      <c r="O57" s="19" t="str">
        <f t="shared" ca="1" si="33"/>
        <v>2727FD</v>
      </c>
    </row>
    <row r="58" spans="2:15" x14ac:dyDescent="0.25">
      <c r="B58" s="14">
        <f t="shared" si="22"/>
        <v>48</v>
      </c>
      <c r="C58" s="21"/>
      <c r="D58" s="15" t="str">
        <f t="shared" ca="1" si="23"/>
        <v>FFFFFF</v>
      </c>
      <c r="E58" s="16">
        <f t="shared" ca="1" si="24"/>
        <v>255</v>
      </c>
      <c r="F58" s="16">
        <f t="shared" ca="1" si="25"/>
        <v>255</v>
      </c>
      <c r="G58" s="16">
        <f t="shared" ca="1" si="26"/>
        <v>255</v>
      </c>
      <c r="H58" s="16">
        <f t="shared" ca="1" si="27"/>
        <v>26</v>
      </c>
      <c r="I58" s="16">
        <f t="shared" ca="1" si="28"/>
        <v>51</v>
      </c>
      <c r="J58" s="17">
        <f t="shared" ca="1" si="29"/>
        <v>29</v>
      </c>
      <c r="K58" s="17">
        <f t="shared" ca="1" si="30"/>
        <v>29</v>
      </c>
      <c r="L58" s="17">
        <f t="shared" ca="1" si="31"/>
        <v>253</v>
      </c>
      <c r="M58" s="68"/>
      <c r="N58" s="15" t="str">
        <f t="shared" ca="1" si="32"/>
        <v>1908221</v>
      </c>
      <c r="O58" s="19" t="str">
        <f t="shared" ca="1" si="33"/>
        <v>1D1DFD</v>
      </c>
    </row>
    <row r="59" spans="2:15" x14ac:dyDescent="0.25">
      <c r="B59" s="14">
        <f t="shared" si="22"/>
        <v>49</v>
      </c>
      <c r="C59" s="21"/>
      <c r="D59" s="15" t="str">
        <f t="shared" ca="1" si="23"/>
        <v>FFFFFF</v>
      </c>
      <c r="E59" s="16">
        <f t="shared" ca="1" si="24"/>
        <v>255</v>
      </c>
      <c r="F59" s="16">
        <f t="shared" ca="1" si="25"/>
        <v>255</v>
      </c>
      <c r="G59" s="16">
        <f t="shared" ca="1" si="26"/>
        <v>255</v>
      </c>
      <c r="H59" s="16">
        <f t="shared" ca="1" si="27"/>
        <v>26</v>
      </c>
      <c r="I59" s="16">
        <f t="shared" ca="1" si="28"/>
        <v>51</v>
      </c>
      <c r="J59" s="17">
        <f t="shared" ca="1" si="29"/>
        <v>19</v>
      </c>
      <c r="K59" s="17">
        <f t="shared" ca="1" si="30"/>
        <v>19</v>
      </c>
      <c r="L59" s="17">
        <f t="shared" ca="1" si="31"/>
        <v>254</v>
      </c>
      <c r="M59" s="69"/>
      <c r="N59" s="15" t="str">
        <f t="shared" ca="1" si="32"/>
        <v>1250302</v>
      </c>
      <c r="O59" s="19" t="str">
        <f t="shared" ca="1" si="33"/>
        <v>1313FE</v>
      </c>
    </row>
    <row r="60" spans="2:15" x14ac:dyDescent="0.25">
      <c r="B60" s="14">
        <f t="shared" si="22"/>
        <v>50</v>
      </c>
      <c r="C60" s="21"/>
      <c r="D60" s="15" t="str">
        <f t="shared" ca="1" si="23"/>
        <v>FFFFFF</v>
      </c>
      <c r="E60" s="16">
        <f t="shared" ca="1" si="24"/>
        <v>255</v>
      </c>
      <c r="F60" s="16">
        <f t="shared" ca="1" si="25"/>
        <v>255</v>
      </c>
      <c r="G60" s="16">
        <f t="shared" ca="1" si="26"/>
        <v>255</v>
      </c>
      <c r="H60" s="16">
        <f t="shared" ca="1" si="27"/>
        <v>26</v>
      </c>
      <c r="I60" s="16">
        <f t="shared" ca="1" si="28"/>
        <v>51</v>
      </c>
      <c r="J60" s="17">
        <f t="shared" ca="1" si="29"/>
        <v>10</v>
      </c>
      <c r="K60" s="17">
        <f t="shared" ca="1" si="30"/>
        <v>10</v>
      </c>
      <c r="L60" s="17">
        <f t="shared" ca="1" si="31"/>
        <v>254</v>
      </c>
      <c r="M60" s="70"/>
      <c r="N60" s="15" t="str">
        <f t="shared" ca="1" si="32"/>
        <v>658174</v>
      </c>
      <c r="O60" s="19" t="str">
        <f t="shared" ca="1" si="33"/>
        <v>0A0AFE</v>
      </c>
    </row>
    <row r="61" spans="2:15" x14ac:dyDescent="0.25">
      <c r="B61" s="14">
        <f t="shared" si="22"/>
        <v>51</v>
      </c>
      <c r="C61" s="71"/>
      <c r="D61" s="15" t="str">
        <f t="shared" ca="1" si="23"/>
        <v>0000FF</v>
      </c>
      <c r="E61" s="16">
        <f t="shared" ca="1" si="24"/>
        <v>0</v>
      </c>
      <c r="F61" s="16">
        <f t="shared" ca="1" si="25"/>
        <v>0</v>
      </c>
      <c r="G61" s="16">
        <f t="shared" ca="1" si="26"/>
        <v>255</v>
      </c>
      <c r="H61" s="16">
        <f t="shared" ca="1" si="27"/>
        <v>51</v>
      </c>
      <c r="I61" s="16">
        <f t="shared" ca="1" si="28"/>
        <v>51</v>
      </c>
      <c r="J61" s="17">
        <f t="shared" ca="1" si="29"/>
        <v>0</v>
      </c>
      <c r="K61" s="17">
        <f t="shared" ca="1" si="30"/>
        <v>0</v>
      </c>
      <c r="L61" s="17">
        <f t="shared" ca="1" si="31"/>
        <v>255</v>
      </c>
      <c r="M61" s="71"/>
      <c r="N61" s="15" t="str">
        <f t="shared" ca="1" si="32"/>
        <v>255</v>
      </c>
      <c r="O61" s="19" t="str">
        <f t="shared" ca="1" si="33"/>
        <v>0000FF</v>
      </c>
    </row>
    <row r="62" spans="2:15" x14ac:dyDescent="0.25">
      <c r="B62" s="14" t="str">
        <f t="shared" si="22"/>
        <v/>
      </c>
      <c r="C62" s="21"/>
      <c r="D62" s="15" t="str">
        <f t="shared" si="23"/>
        <v/>
      </c>
      <c r="E62" s="16" t="str">
        <f t="shared" si="24"/>
        <v/>
      </c>
      <c r="F62" s="16" t="str">
        <f t="shared" si="25"/>
        <v/>
      </c>
      <c r="G62" s="16" t="str">
        <f t="shared" si="26"/>
        <v/>
      </c>
      <c r="H62" s="16" t="str">
        <f t="shared" si="27"/>
        <v/>
      </c>
      <c r="I62" s="16" t="str">
        <f t="shared" si="28"/>
        <v/>
      </c>
      <c r="J62" s="17" t="str">
        <f t="shared" ca="1" si="29"/>
        <v/>
      </c>
      <c r="K62" s="17" t="str">
        <f t="shared" ca="1" si="30"/>
        <v/>
      </c>
      <c r="L62" s="17" t="str">
        <f t="shared" ca="1" si="31"/>
        <v/>
      </c>
      <c r="M62" s="21"/>
      <c r="N62" s="15" t="str">
        <f t="shared" si="32"/>
        <v/>
      </c>
      <c r="O62" s="19" t="str">
        <f t="shared" si="33"/>
        <v/>
      </c>
    </row>
    <row r="63" spans="2:15" x14ac:dyDescent="0.25">
      <c r="B63" s="14" t="str">
        <f t="shared" si="22"/>
        <v/>
      </c>
      <c r="C63" s="21"/>
      <c r="D63" s="15" t="str">
        <f t="shared" si="23"/>
        <v/>
      </c>
      <c r="E63" s="16" t="str">
        <f t="shared" si="24"/>
        <v/>
      </c>
      <c r="F63" s="16" t="str">
        <f t="shared" si="25"/>
        <v/>
      </c>
      <c r="G63" s="16" t="str">
        <f t="shared" si="26"/>
        <v/>
      </c>
      <c r="H63" s="16" t="str">
        <f t="shared" si="27"/>
        <v/>
      </c>
      <c r="I63" s="16" t="str">
        <f t="shared" si="28"/>
        <v/>
      </c>
      <c r="J63" s="17" t="str">
        <f t="shared" ca="1" si="29"/>
        <v/>
      </c>
      <c r="K63" s="17" t="str">
        <f t="shared" ca="1" si="30"/>
        <v/>
      </c>
      <c r="L63" s="17" t="str">
        <f t="shared" ca="1" si="31"/>
        <v/>
      </c>
      <c r="M63" s="21"/>
      <c r="N63" s="15" t="str">
        <f t="shared" si="32"/>
        <v/>
      </c>
      <c r="O63" s="19" t="str">
        <f t="shared" si="33"/>
        <v/>
      </c>
    </row>
    <row r="64" spans="2:15" x14ac:dyDescent="0.25">
      <c r="B64" s="14" t="str">
        <f t="shared" si="22"/>
        <v/>
      </c>
      <c r="C64" s="21"/>
      <c r="D64" s="15" t="str">
        <f t="shared" si="23"/>
        <v/>
      </c>
      <c r="E64" s="16" t="str">
        <f t="shared" si="24"/>
        <v/>
      </c>
      <c r="F64" s="16" t="str">
        <f t="shared" si="25"/>
        <v/>
      </c>
      <c r="G64" s="16" t="str">
        <f t="shared" si="26"/>
        <v/>
      </c>
      <c r="H64" s="16" t="str">
        <f t="shared" si="27"/>
        <v/>
      </c>
      <c r="I64" s="16" t="str">
        <f t="shared" si="28"/>
        <v/>
      </c>
      <c r="J64" s="17" t="str">
        <f t="shared" ca="1" si="29"/>
        <v/>
      </c>
      <c r="K64" s="17" t="str">
        <f t="shared" ca="1" si="30"/>
        <v/>
      </c>
      <c r="L64" s="17" t="str">
        <f t="shared" ca="1" si="31"/>
        <v/>
      </c>
      <c r="M64" s="21"/>
      <c r="N64" s="15" t="str">
        <f t="shared" si="32"/>
        <v/>
      </c>
      <c r="O64" s="19" t="str">
        <f t="shared" si="33"/>
        <v/>
      </c>
    </row>
    <row r="65" spans="2:15" x14ac:dyDescent="0.25">
      <c r="B65" s="14" t="str">
        <f t="shared" si="22"/>
        <v/>
      </c>
      <c r="C65" s="21"/>
      <c r="D65" s="15" t="str">
        <f t="shared" si="23"/>
        <v/>
      </c>
      <c r="E65" s="16" t="str">
        <f t="shared" si="24"/>
        <v/>
      </c>
      <c r="F65" s="16" t="str">
        <f t="shared" si="25"/>
        <v/>
      </c>
      <c r="G65" s="16" t="str">
        <f t="shared" si="26"/>
        <v/>
      </c>
      <c r="H65" s="16" t="str">
        <f t="shared" si="27"/>
        <v/>
      </c>
      <c r="I65" s="16" t="str">
        <f t="shared" si="28"/>
        <v/>
      </c>
      <c r="J65" s="17" t="str">
        <f t="shared" ca="1" si="29"/>
        <v/>
      </c>
      <c r="K65" s="17" t="str">
        <f t="shared" ca="1" si="30"/>
        <v/>
      </c>
      <c r="L65" s="17" t="str">
        <f t="shared" ca="1" si="31"/>
        <v/>
      </c>
      <c r="M65" s="21"/>
      <c r="N65" s="15" t="str">
        <f t="shared" si="32"/>
        <v/>
      </c>
      <c r="O65" s="19" t="str">
        <f t="shared" si="33"/>
        <v/>
      </c>
    </row>
    <row r="66" spans="2:15" x14ac:dyDescent="0.25">
      <c r="B66" s="14" t="str">
        <f t="shared" si="22"/>
        <v/>
      </c>
      <c r="C66" s="21"/>
      <c r="D66" s="15" t="str">
        <f t="shared" si="23"/>
        <v/>
      </c>
      <c r="E66" s="16" t="str">
        <f t="shared" si="24"/>
        <v/>
      </c>
      <c r="F66" s="16" t="str">
        <f t="shared" si="25"/>
        <v/>
      </c>
      <c r="G66" s="16" t="str">
        <f t="shared" si="26"/>
        <v/>
      </c>
      <c r="H66" s="16" t="str">
        <f t="shared" si="27"/>
        <v/>
      </c>
      <c r="I66" s="16" t="str">
        <f t="shared" si="28"/>
        <v/>
      </c>
      <c r="J66" s="17" t="str">
        <f t="shared" ca="1" si="29"/>
        <v/>
      </c>
      <c r="K66" s="17" t="str">
        <f t="shared" ca="1" si="30"/>
        <v/>
      </c>
      <c r="L66" s="17" t="str">
        <f t="shared" ca="1" si="31"/>
        <v/>
      </c>
      <c r="M66" s="21"/>
      <c r="N66" s="15" t="str">
        <f t="shared" si="32"/>
        <v/>
      </c>
      <c r="O66" s="19" t="str">
        <f t="shared" si="33"/>
        <v/>
      </c>
    </row>
    <row r="67" spans="2:15" x14ac:dyDescent="0.25">
      <c r="B67" s="14" t="str">
        <f t="shared" si="22"/>
        <v/>
      </c>
      <c r="C67" s="21"/>
      <c r="D67" s="15" t="str">
        <f t="shared" si="23"/>
        <v/>
      </c>
      <c r="E67" s="16" t="str">
        <f t="shared" si="24"/>
        <v/>
      </c>
      <c r="F67" s="16" t="str">
        <f t="shared" si="25"/>
        <v/>
      </c>
      <c r="G67" s="16" t="str">
        <f t="shared" si="26"/>
        <v/>
      </c>
      <c r="H67" s="16" t="str">
        <f t="shared" si="27"/>
        <v/>
      </c>
      <c r="I67" s="16" t="str">
        <f t="shared" si="28"/>
        <v/>
      </c>
      <c r="J67" s="17" t="str">
        <f t="shared" ca="1" si="29"/>
        <v/>
      </c>
      <c r="K67" s="17" t="str">
        <f t="shared" ca="1" si="30"/>
        <v/>
      </c>
      <c r="L67" s="17" t="str">
        <f t="shared" ca="1" si="31"/>
        <v/>
      </c>
      <c r="M67" s="21"/>
      <c r="N67" s="15" t="str">
        <f t="shared" si="32"/>
        <v/>
      </c>
      <c r="O67" s="19" t="str">
        <f t="shared" si="33"/>
        <v/>
      </c>
    </row>
    <row r="68" spans="2:15" x14ac:dyDescent="0.25">
      <c r="B68" s="14" t="str">
        <f t="shared" si="22"/>
        <v/>
      </c>
      <c r="C68" s="21"/>
      <c r="D68" s="15" t="str">
        <f t="shared" si="23"/>
        <v/>
      </c>
      <c r="E68" s="16" t="str">
        <f t="shared" si="24"/>
        <v/>
      </c>
      <c r="F68" s="16" t="str">
        <f t="shared" si="25"/>
        <v/>
      </c>
      <c r="G68" s="16" t="str">
        <f t="shared" si="26"/>
        <v/>
      </c>
      <c r="H68" s="16" t="str">
        <f t="shared" si="27"/>
        <v/>
      </c>
      <c r="I68" s="16" t="str">
        <f t="shared" si="28"/>
        <v/>
      </c>
      <c r="J68" s="17" t="str">
        <f t="shared" ca="1" si="29"/>
        <v/>
      </c>
      <c r="K68" s="17" t="str">
        <f t="shared" ca="1" si="30"/>
        <v/>
      </c>
      <c r="L68" s="17" t="str">
        <f t="shared" ca="1" si="31"/>
        <v/>
      </c>
      <c r="M68" s="21"/>
      <c r="N68" s="15" t="str">
        <f t="shared" si="32"/>
        <v/>
      </c>
      <c r="O68" s="19" t="str">
        <f t="shared" si="33"/>
        <v/>
      </c>
    </row>
    <row r="69" spans="2:15" x14ac:dyDescent="0.25">
      <c r="B69" s="14" t="str">
        <f t="shared" si="22"/>
        <v/>
      </c>
      <c r="C69" s="21"/>
      <c r="D69" s="15" t="str">
        <f t="shared" si="23"/>
        <v/>
      </c>
      <c r="E69" s="16" t="str">
        <f t="shared" si="24"/>
        <v/>
      </c>
      <c r="F69" s="16" t="str">
        <f t="shared" si="25"/>
        <v/>
      </c>
      <c r="G69" s="16" t="str">
        <f t="shared" si="26"/>
        <v/>
      </c>
      <c r="H69" s="16" t="str">
        <f t="shared" si="27"/>
        <v/>
      </c>
      <c r="I69" s="16" t="str">
        <f t="shared" si="28"/>
        <v/>
      </c>
      <c r="J69" s="17" t="str">
        <f t="shared" ca="1" si="29"/>
        <v/>
      </c>
      <c r="K69" s="17" t="str">
        <f t="shared" ca="1" si="30"/>
        <v/>
      </c>
      <c r="L69" s="17" t="str">
        <f t="shared" ca="1" si="31"/>
        <v/>
      </c>
      <c r="M69" s="21"/>
      <c r="N69" s="15" t="str">
        <f t="shared" si="32"/>
        <v/>
      </c>
      <c r="O69" s="19" t="str">
        <f t="shared" si="33"/>
        <v/>
      </c>
    </row>
    <row r="70" spans="2:15" x14ac:dyDescent="0.25">
      <c r="B70" s="14" t="str">
        <f t="shared" si="22"/>
        <v/>
      </c>
      <c r="C70" s="21"/>
      <c r="D70" s="15" t="str">
        <f t="shared" si="23"/>
        <v/>
      </c>
      <c r="E70" s="16" t="str">
        <f t="shared" si="24"/>
        <v/>
      </c>
      <c r="F70" s="16" t="str">
        <f t="shared" si="25"/>
        <v/>
      </c>
      <c r="G70" s="16" t="str">
        <f t="shared" si="26"/>
        <v/>
      </c>
      <c r="H70" s="16" t="str">
        <f t="shared" si="27"/>
        <v/>
      </c>
      <c r="I70" s="16" t="str">
        <f t="shared" si="28"/>
        <v/>
      </c>
      <c r="J70" s="17" t="str">
        <f t="shared" ca="1" si="29"/>
        <v/>
      </c>
      <c r="K70" s="17" t="str">
        <f t="shared" ca="1" si="30"/>
        <v/>
      </c>
      <c r="L70" s="17" t="str">
        <f t="shared" ca="1" si="31"/>
        <v/>
      </c>
      <c r="M70" s="21"/>
      <c r="N70" s="15" t="str">
        <f t="shared" si="32"/>
        <v/>
      </c>
      <c r="O70" s="19" t="str">
        <f t="shared" si="33"/>
        <v/>
      </c>
    </row>
    <row r="71" spans="2:15" x14ac:dyDescent="0.25">
      <c r="B71" s="14" t="str">
        <f t="shared" si="22"/>
        <v/>
      </c>
      <c r="C71" s="21"/>
      <c r="D71" s="15" t="str">
        <f t="shared" si="23"/>
        <v/>
      </c>
      <c r="E71" s="16" t="str">
        <f t="shared" si="24"/>
        <v/>
      </c>
      <c r="F71" s="16" t="str">
        <f t="shared" si="25"/>
        <v/>
      </c>
      <c r="G71" s="16" t="str">
        <f t="shared" si="26"/>
        <v/>
      </c>
      <c r="H71" s="16" t="str">
        <f t="shared" si="27"/>
        <v/>
      </c>
      <c r="I71" s="16" t="str">
        <f t="shared" si="28"/>
        <v/>
      </c>
      <c r="J71" s="17" t="str">
        <f t="shared" ca="1" si="29"/>
        <v/>
      </c>
      <c r="K71" s="17" t="str">
        <f t="shared" ca="1" si="30"/>
        <v/>
      </c>
      <c r="L71" s="17" t="str">
        <f t="shared" ca="1" si="31"/>
        <v/>
      </c>
      <c r="M71" s="21"/>
      <c r="N71" s="15" t="str">
        <f t="shared" si="32"/>
        <v/>
      </c>
      <c r="O71" s="19" t="str">
        <f t="shared" si="33"/>
        <v/>
      </c>
    </row>
    <row r="72" spans="2:15" x14ac:dyDescent="0.25">
      <c r="B72" s="14" t="str">
        <f t="shared" si="22"/>
        <v/>
      </c>
      <c r="C72" s="21"/>
      <c r="D72" s="15" t="str">
        <f t="shared" si="23"/>
        <v/>
      </c>
      <c r="E72" s="16" t="str">
        <f t="shared" si="24"/>
        <v/>
      </c>
      <c r="F72" s="16" t="str">
        <f t="shared" si="25"/>
        <v/>
      </c>
      <c r="G72" s="16" t="str">
        <f t="shared" si="26"/>
        <v/>
      </c>
      <c r="H72" s="16" t="str">
        <f t="shared" si="27"/>
        <v/>
      </c>
      <c r="I72" s="16" t="str">
        <f t="shared" si="28"/>
        <v/>
      </c>
      <c r="J72" s="17" t="str">
        <f t="shared" ca="1" si="29"/>
        <v/>
      </c>
      <c r="K72" s="17" t="str">
        <f t="shared" ca="1" si="30"/>
        <v/>
      </c>
      <c r="L72" s="17" t="str">
        <f t="shared" ca="1" si="31"/>
        <v/>
      </c>
      <c r="M72" s="21"/>
      <c r="N72" s="15" t="str">
        <f t="shared" si="32"/>
        <v/>
      </c>
      <c r="O72" s="19" t="str">
        <f t="shared" si="33"/>
        <v/>
      </c>
    </row>
    <row r="73" spans="2:15" x14ac:dyDescent="0.25">
      <c r="B73" s="14" t="str">
        <f t="shared" si="22"/>
        <v/>
      </c>
      <c r="C73" s="21"/>
      <c r="D73" s="15" t="str">
        <f t="shared" si="23"/>
        <v/>
      </c>
      <c r="E73" s="16" t="str">
        <f t="shared" si="24"/>
        <v/>
      </c>
      <c r="F73" s="16" t="str">
        <f t="shared" si="25"/>
        <v/>
      </c>
      <c r="G73" s="16" t="str">
        <f t="shared" si="26"/>
        <v/>
      </c>
      <c r="H73" s="16" t="str">
        <f t="shared" si="27"/>
        <v/>
      </c>
      <c r="I73" s="16" t="str">
        <f t="shared" si="28"/>
        <v/>
      </c>
      <c r="J73" s="17" t="str">
        <f t="shared" ca="1" si="29"/>
        <v/>
      </c>
      <c r="K73" s="17" t="str">
        <f t="shared" ca="1" si="30"/>
        <v/>
      </c>
      <c r="L73" s="17" t="str">
        <f t="shared" ca="1" si="31"/>
        <v/>
      </c>
      <c r="M73" s="21"/>
      <c r="N73" s="15" t="str">
        <f t="shared" si="32"/>
        <v/>
      </c>
      <c r="O73" s="19" t="str">
        <f t="shared" si="33"/>
        <v/>
      </c>
    </row>
    <row r="74" spans="2:15" x14ac:dyDescent="0.25">
      <c r="B74" s="14" t="str">
        <f t="shared" si="22"/>
        <v/>
      </c>
      <c r="C74" s="21"/>
      <c r="D74" s="15" t="str">
        <f t="shared" si="23"/>
        <v/>
      </c>
      <c r="E74" s="16" t="str">
        <f t="shared" si="24"/>
        <v/>
      </c>
      <c r="F74" s="16" t="str">
        <f t="shared" si="25"/>
        <v/>
      </c>
      <c r="G74" s="16" t="str">
        <f t="shared" si="26"/>
        <v/>
      </c>
      <c r="H74" s="16" t="str">
        <f t="shared" si="27"/>
        <v/>
      </c>
      <c r="I74" s="16" t="str">
        <f t="shared" si="28"/>
        <v/>
      </c>
      <c r="J74" s="17" t="str">
        <f t="shared" ca="1" si="29"/>
        <v/>
      </c>
      <c r="K74" s="17" t="str">
        <f t="shared" ca="1" si="30"/>
        <v/>
      </c>
      <c r="L74" s="17" t="str">
        <f t="shared" ca="1" si="31"/>
        <v/>
      </c>
      <c r="M74" s="21"/>
      <c r="N74" s="15" t="str">
        <f t="shared" si="32"/>
        <v/>
      </c>
      <c r="O74" s="19" t="str">
        <f t="shared" si="33"/>
        <v/>
      </c>
    </row>
    <row r="75" spans="2:15" x14ac:dyDescent="0.25">
      <c r="B75" s="14" t="str">
        <f t="shared" si="22"/>
        <v/>
      </c>
      <c r="C75" s="21"/>
      <c r="D75" s="15" t="str">
        <f t="shared" si="23"/>
        <v/>
      </c>
      <c r="E75" s="16" t="str">
        <f t="shared" si="24"/>
        <v/>
      </c>
      <c r="F75" s="16" t="str">
        <f t="shared" si="25"/>
        <v/>
      </c>
      <c r="G75" s="16" t="str">
        <f t="shared" si="26"/>
        <v/>
      </c>
      <c r="H75" s="16" t="str">
        <f t="shared" si="27"/>
        <v/>
      </c>
      <c r="I75" s="16" t="str">
        <f t="shared" si="28"/>
        <v/>
      </c>
      <c r="J75" s="17" t="str">
        <f t="shared" ca="1" si="29"/>
        <v/>
      </c>
      <c r="K75" s="17" t="str">
        <f t="shared" ca="1" si="30"/>
        <v/>
      </c>
      <c r="L75" s="17" t="str">
        <f t="shared" ca="1" si="31"/>
        <v/>
      </c>
      <c r="M75" s="21"/>
      <c r="N75" s="15" t="str">
        <f t="shared" si="32"/>
        <v/>
      </c>
      <c r="O75" s="19" t="str">
        <f t="shared" si="33"/>
        <v/>
      </c>
    </row>
    <row r="76" spans="2:15" x14ac:dyDescent="0.25">
      <c r="B76" s="14" t="str">
        <f t="shared" si="22"/>
        <v/>
      </c>
      <c r="C76" s="21"/>
      <c r="D76" s="15" t="str">
        <f t="shared" si="23"/>
        <v/>
      </c>
      <c r="E76" s="16" t="str">
        <f t="shared" si="24"/>
        <v/>
      </c>
      <c r="F76" s="16" t="str">
        <f t="shared" si="25"/>
        <v/>
      </c>
      <c r="G76" s="16" t="str">
        <f t="shared" si="26"/>
        <v/>
      </c>
      <c r="H76" s="16" t="str">
        <f t="shared" si="27"/>
        <v/>
      </c>
      <c r="I76" s="16" t="str">
        <f t="shared" si="28"/>
        <v/>
      </c>
      <c r="J76" s="17" t="str">
        <f t="shared" ca="1" si="29"/>
        <v/>
      </c>
      <c r="K76" s="17" t="str">
        <f t="shared" ca="1" si="30"/>
        <v/>
      </c>
      <c r="L76" s="17" t="str">
        <f t="shared" ca="1" si="31"/>
        <v/>
      </c>
      <c r="M76" s="21"/>
      <c r="N76" s="15" t="str">
        <f t="shared" si="32"/>
        <v/>
      </c>
      <c r="O76" s="19" t="str">
        <f t="shared" si="33"/>
        <v/>
      </c>
    </row>
    <row r="77" spans="2:15" x14ac:dyDescent="0.25">
      <c r="B77" s="14" t="str">
        <f t="shared" ref="B77:B110" si="34">IFERROR(IF(B76+1&gt;steps,"",B76+1),"")</f>
        <v/>
      </c>
      <c r="C77" s="21"/>
      <c r="D77" s="15" t="str">
        <f t="shared" ref="D77:D108" si="35">IF(ROW()&gt;steps+10,"",gethexcolor(C77))</f>
        <v/>
      </c>
      <c r="E77" s="16" t="str">
        <f t="shared" ref="E77:E108" si="36">IF(ROW()&gt;steps+10,"",HEX2DEC(LEFT(D77,2)))</f>
        <v/>
      </c>
      <c r="F77" s="16" t="str">
        <f t="shared" ref="F77:F110" si="37">IF(ROW()&gt;steps+10,"",HEX2DEC(MID(D77,3,2)))</f>
        <v/>
      </c>
      <c r="G77" s="16" t="str">
        <f t="shared" ref="G77:G110" si="38">IF(ROW()&gt;steps+10,"",HEX2DEC(RIGHT(D77,2)))</f>
        <v/>
      </c>
      <c r="H77" s="16" t="str">
        <f t="shared" ref="H77:H110" si="39">IF(ROW()&gt;steps+10,"",nonMatch(D77,TRUE))</f>
        <v/>
      </c>
      <c r="I77" s="16" t="str">
        <f t="shared" ref="I77:I110" si="40">IF(ROW()&gt;steps+10,"",nonMatch(D77,FALSE))</f>
        <v/>
      </c>
      <c r="J77" s="17" t="str">
        <f t="shared" ref="J77:J110" ca="1" si="41">IF(ROW()&gt;steps+10,"",IF($I77=$H77,E77,INDEX(INDIRECT(range),$H77,1)+ROUND(($B77-$H77)/($I77-$H77)*(INDEX(INDIRECT(range),$I77,1)-INDEX(INDIRECT(range),$H77,1)),0)))</f>
        <v/>
      </c>
      <c r="K77" s="17" t="str">
        <f t="shared" ref="K77:K110" ca="1" si="42">IF(ROW()&gt;steps+10,"",IF($I77=$H77,F77,INDEX(INDIRECT(range),$H77,2)+ROUND(($B77-$H77)/($I77-$H77)*(INDEX(INDIRECT(range),$I77,2)-INDEX(INDIRECT(range),$H77,2)),0)))</f>
        <v/>
      </c>
      <c r="L77" s="17" t="str">
        <f t="shared" ref="L77:L110" ca="1" si="43">IF(ROW()&gt;steps+10,"",IF($I77=$H77,G77,INDEX(INDIRECT(range),$H77,3)+ROUND(($B77-$H77)/($I77-$H77)*(INDEX(INDIRECT(range),$I77,3)-INDEX(INDIRECT(range),$H77,3)),0)))</f>
        <v/>
      </c>
      <c r="M77" s="21"/>
      <c r="N77" s="15" t="str">
        <f t="shared" ref="N77:N108" si="44">IF(ROW()&gt;steps+10,"",getnewcolor(M77))</f>
        <v/>
      </c>
      <c r="O77" s="19" t="str">
        <f t="shared" ref="O77:O110" si="45">IF(ROW()&gt;steps+10,"",gethexcolor(M77))</f>
        <v/>
      </c>
    </row>
    <row r="78" spans="2:15" x14ac:dyDescent="0.25">
      <c r="B78" s="14" t="str">
        <f t="shared" si="34"/>
        <v/>
      </c>
      <c r="C78" s="21"/>
      <c r="D78" s="15" t="str">
        <f t="shared" si="35"/>
        <v/>
      </c>
      <c r="E78" s="16" t="str">
        <f t="shared" si="36"/>
        <v/>
      </c>
      <c r="F78" s="16" t="str">
        <f t="shared" si="37"/>
        <v/>
      </c>
      <c r="G78" s="16" t="str">
        <f t="shared" si="38"/>
        <v/>
      </c>
      <c r="H78" s="16" t="str">
        <f t="shared" si="39"/>
        <v/>
      </c>
      <c r="I78" s="16" t="str">
        <f t="shared" si="40"/>
        <v/>
      </c>
      <c r="J78" s="17" t="str">
        <f t="shared" ca="1" si="41"/>
        <v/>
      </c>
      <c r="K78" s="17" t="str">
        <f t="shared" ca="1" si="42"/>
        <v/>
      </c>
      <c r="L78" s="17" t="str">
        <f t="shared" ca="1" si="43"/>
        <v/>
      </c>
      <c r="M78" s="21"/>
      <c r="N78" s="15" t="str">
        <f t="shared" si="44"/>
        <v/>
      </c>
      <c r="O78" s="19" t="str">
        <f t="shared" si="45"/>
        <v/>
      </c>
    </row>
    <row r="79" spans="2:15" x14ac:dyDescent="0.25">
      <c r="B79" s="14" t="str">
        <f t="shared" si="34"/>
        <v/>
      </c>
      <c r="C79" s="21"/>
      <c r="D79" s="15" t="str">
        <f t="shared" si="35"/>
        <v/>
      </c>
      <c r="E79" s="16" t="str">
        <f t="shared" si="36"/>
        <v/>
      </c>
      <c r="F79" s="16" t="str">
        <f t="shared" si="37"/>
        <v/>
      </c>
      <c r="G79" s="16" t="str">
        <f t="shared" si="38"/>
        <v/>
      </c>
      <c r="H79" s="16" t="str">
        <f t="shared" si="39"/>
        <v/>
      </c>
      <c r="I79" s="16" t="str">
        <f t="shared" si="40"/>
        <v/>
      </c>
      <c r="J79" s="17" t="str">
        <f t="shared" ca="1" si="41"/>
        <v/>
      </c>
      <c r="K79" s="17" t="str">
        <f t="shared" ca="1" si="42"/>
        <v/>
      </c>
      <c r="L79" s="17" t="str">
        <f t="shared" ca="1" si="43"/>
        <v/>
      </c>
      <c r="M79" s="21"/>
      <c r="N79" s="15" t="str">
        <f t="shared" si="44"/>
        <v/>
      </c>
      <c r="O79" s="19" t="str">
        <f t="shared" si="45"/>
        <v/>
      </c>
    </row>
    <row r="80" spans="2:15" x14ac:dyDescent="0.25">
      <c r="B80" s="14" t="str">
        <f t="shared" si="34"/>
        <v/>
      </c>
      <c r="C80" s="21"/>
      <c r="D80" s="15" t="str">
        <f t="shared" si="35"/>
        <v/>
      </c>
      <c r="E80" s="16" t="str">
        <f t="shared" si="36"/>
        <v/>
      </c>
      <c r="F80" s="16" t="str">
        <f t="shared" si="37"/>
        <v/>
      </c>
      <c r="G80" s="16" t="str">
        <f t="shared" si="38"/>
        <v/>
      </c>
      <c r="H80" s="16" t="str">
        <f t="shared" si="39"/>
        <v/>
      </c>
      <c r="I80" s="16" t="str">
        <f t="shared" si="40"/>
        <v/>
      </c>
      <c r="J80" s="17" t="str">
        <f t="shared" ca="1" si="41"/>
        <v/>
      </c>
      <c r="K80" s="17" t="str">
        <f t="shared" ca="1" si="42"/>
        <v/>
      </c>
      <c r="L80" s="17" t="str">
        <f t="shared" ca="1" si="43"/>
        <v/>
      </c>
      <c r="M80" s="21"/>
      <c r="N80" s="15" t="str">
        <f t="shared" si="44"/>
        <v/>
      </c>
      <c r="O80" s="19" t="str">
        <f t="shared" si="45"/>
        <v/>
      </c>
    </row>
    <row r="81" spans="2:15" x14ac:dyDescent="0.25">
      <c r="B81" s="14" t="str">
        <f t="shared" si="34"/>
        <v/>
      </c>
      <c r="C81" s="21"/>
      <c r="D81" s="15" t="str">
        <f t="shared" si="35"/>
        <v/>
      </c>
      <c r="E81" s="16" t="str">
        <f t="shared" si="36"/>
        <v/>
      </c>
      <c r="F81" s="16" t="str">
        <f t="shared" si="37"/>
        <v/>
      </c>
      <c r="G81" s="16" t="str">
        <f t="shared" si="38"/>
        <v/>
      </c>
      <c r="H81" s="16" t="str">
        <f t="shared" si="39"/>
        <v/>
      </c>
      <c r="I81" s="16" t="str">
        <f t="shared" si="40"/>
        <v/>
      </c>
      <c r="J81" s="17" t="str">
        <f t="shared" ca="1" si="41"/>
        <v/>
      </c>
      <c r="K81" s="17" t="str">
        <f t="shared" ca="1" si="42"/>
        <v/>
      </c>
      <c r="L81" s="17" t="str">
        <f t="shared" ca="1" si="43"/>
        <v/>
      </c>
      <c r="M81" s="21"/>
      <c r="N81" s="15" t="str">
        <f t="shared" si="44"/>
        <v/>
      </c>
      <c r="O81" s="19" t="str">
        <f t="shared" si="45"/>
        <v/>
      </c>
    </row>
    <row r="82" spans="2:15" x14ac:dyDescent="0.25">
      <c r="B82" s="14" t="str">
        <f t="shared" si="34"/>
        <v/>
      </c>
      <c r="C82" s="15"/>
      <c r="D82" s="15" t="str">
        <f t="shared" si="35"/>
        <v/>
      </c>
      <c r="E82" s="16" t="str">
        <f t="shared" si="36"/>
        <v/>
      </c>
      <c r="F82" s="16" t="str">
        <f t="shared" si="37"/>
        <v/>
      </c>
      <c r="G82" s="16" t="str">
        <f t="shared" si="38"/>
        <v/>
      </c>
      <c r="H82" s="16" t="str">
        <f t="shared" si="39"/>
        <v/>
      </c>
      <c r="I82" s="16" t="str">
        <f t="shared" si="40"/>
        <v/>
      </c>
      <c r="J82" s="17" t="str">
        <f t="shared" ca="1" si="41"/>
        <v/>
      </c>
      <c r="K82" s="17" t="str">
        <f t="shared" ca="1" si="42"/>
        <v/>
      </c>
      <c r="L82" s="17" t="str">
        <f t="shared" ca="1" si="43"/>
        <v/>
      </c>
      <c r="M82" s="21"/>
      <c r="N82" s="15" t="str">
        <f t="shared" si="44"/>
        <v/>
      </c>
      <c r="O82" s="19" t="str">
        <f t="shared" si="45"/>
        <v/>
      </c>
    </row>
    <row r="83" spans="2:15" x14ac:dyDescent="0.25">
      <c r="B83" s="14" t="str">
        <f t="shared" si="34"/>
        <v/>
      </c>
      <c r="C83" s="15"/>
      <c r="D83" s="15" t="str">
        <f t="shared" si="35"/>
        <v/>
      </c>
      <c r="E83" s="16" t="str">
        <f t="shared" si="36"/>
        <v/>
      </c>
      <c r="F83" s="16" t="str">
        <f t="shared" si="37"/>
        <v/>
      </c>
      <c r="G83" s="16" t="str">
        <f t="shared" si="38"/>
        <v/>
      </c>
      <c r="H83" s="16" t="str">
        <f t="shared" si="39"/>
        <v/>
      </c>
      <c r="I83" s="16" t="str">
        <f t="shared" si="40"/>
        <v/>
      </c>
      <c r="J83" s="17" t="str">
        <f t="shared" ca="1" si="41"/>
        <v/>
      </c>
      <c r="K83" s="17" t="str">
        <f t="shared" ca="1" si="42"/>
        <v/>
      </c>
      <c r="L83" s="17" t="str">
        <f t="shared" ca="1" si="43"/>
        <v/>
      </c>
      <c r="M83" s="21"/>
      <c r="N83" s="15" t="str">
        <f t="shared" si="44"/>
        <v/>
      </c>
      <c r="O83" s="19" t="str">
        <f t="shared" si="45"/>
        <v/>
      </c>
    </row>
    <row r="84" spans="2:15" x14ac:dyDescent="0.25">
      <c r="B84" s="14" t="str">
        <f t="shared" si="34"/>
        <v/>
      </c>
      <c r="C84" s="15"/>
      <c r="D84" s="15" t="str">
        <f t="shared" si="35"/>
        <v/>
      </c>
      <c r="E84" s="16" t="str">
        <f t="shared" si="36"/>
        <v/>
      </c>
      <c r="F84" s="16" t="str">
        <f t="shared" si="37"/>
        <v/>
      </c>
      <c r="G84" s="16" t="str">
        <f t="shared" si="38"/>
        <v/>
      </c>
      <c r="H84" s="16" t="str">
        <f t="shared" si="39"/>
        <v/>
      </c>
      <c r="I84" s="16" t="str">
        <f t="shared" si="40"/>
        <v/>
      </c>
      <c r="J84" s="17" t="str">
        <f t="shared" ca="1" si="41"/>
        <v/>
      </c>
      <c r="K84" s="17" t="str">
        <f t="shared" ca="1" si="42"/>
        <v/>
      </c>
      <c r="L84" s="17" t="str">
        <f t="shared" ca="1" si="43"/>
        <v/>
      </c>
      <c r="M84" s="21"/>
      <c r="N84" s="15" t="str">
        <f t="shared" si="44"/>
        <v/>
      </c>
      <c r="O84" s="19" t="str">
        <f t="shared" si="45"/>
        <v/>
      </c>
    </row>
    <row r="85" spans="2:15" x14ac:dyDescent="0.25">
      <c r="B85" s="14" t="str">
        <f t="shared" si="34"/>
        <v/>
      </c>
      <c r="C85" s="15"/>
      <c r="D85" s="15" t="str">
        <f t="shared" si="35"/>
        <v/>
      </c>
      <c r="E85" s="16" t="str">
        <f t="shared" si="36"/>
        <v/>
      </c>
      <c r="F85" s="16" t="str">
        <f t="shared" si="37"/>
        <v/>
      </c>
      <c r="G85" s="16" t="str">
        <f t="shared" si="38"/>
        <v/>
      </c>
      <c r="H85" s="16" t="str">
        <f t="shared" si="39"/>
        <v/>
      </c>
      <c r="I85" s="16" t="str">
        <f t="shared" si="40"/>
        <v/>
      </c>
      <c r="J85" s="17" t="str">
        <f t="shared" ca="1" si="41"/>
        <v/>
      </c>
      <c r="K85" s="17" t="str">
        <f t="shared" ca="1" si="42"/>
        <v/>
      </c>
      <c r="L85" s="17" t="str">
        <f t="shared" ca="1" si="43"/>
        <v/>
      </c>
      <c r="M85" s="21"/>
      <c r="N85" s="15" t="str">
        <f t="shared" si="44"/>
        <v/>
      </c>
      <c r="O85" s="19" t="str">
        <f t="shared" si="45"/>
        <v/>
      </c>
    </row>
    <row r="86" spans="2:15" x14ac:dyDescent="0.25">
      <c r="B86" s="14" t="str">
        <f t="shared" si="34"/>
        <v/>
      </c>
      <c r="C86" s="15"/>
      <c r="D86" s="15" t="str">
        <f t="shared" si="35"/>
        <v/>
      </c>
      <c r="E86" s="16" t="str">
        <f t="shared" si="36"/>
        <v/>
      </c>
      <c r="F86" s="16" t="str">
        <f t="shared" si="37"/>
        <v/>
      </c>
      <c r="G86" s="16" t="str">
        <f t="shared" si="38"/>
        <v/>
      </c>
      <c r="H86" s="16" t="str">
        <f t="shared" si="39"/>
        <v/>
      </c>
      <c r="I86" s="16" t="str">
        <f t="shared" si="40"/>
        <v/>
      </c>
      <c r="J86" s="17" t="str">
        <f t="shared" ca="1" si="41"/>
        <v/>
      </c>
      <c r="K86" s="17" t="str">
        <f t="shared" ca="1" si="42"/>
        <v/>
      </c>
      <c r="L86" s="17" t="str">
        <f t="shared" ca="1" si="43"/>
        <v/>
      </c>
      <c r="M86" s="21"/>
      <c r="N86" s="15" t="str">
        <f t="shared" si="44"/>
        <v/>
      </c>
      <c r="O86" s="19" t="str">
        <f t="shared" si="45"/>
        <v/>
      </c>
    </row>
    <row r="87" spans="2:15" x14ac:dyDescent="0.25">
      <c r="B87" s="14" t="str">
        <f t="shared" si="34"/>
        <v/>
      </c>
      <c r="C87" s="15"/>
      <c r="D87" s="15" t="str">
        <f t="shared" si="35"/>
        <v/>
      </c>
      <c r="E87" s="16" t="str">
        <f t="shared" si="36"/>
        <v/>
      </c>
      <c r="F87" s="16" t="str">
        <f t="shared" si="37"/>
        <v/>
      </c>
      <c r="G87" s="16" t="str">
        <f t="shared" si="38"/>
        <v/>
      </c>
      <c r="H87" s="16" t="str">
        <f t="shared" si="39"/>
        <v/>
      </c>
      <c r="I87" s="16" t="str">
        <f t="shared" si="40"/>
        <v/>
      </c>
      <c r="J87" s="17" t="str">
        <f t="shared" ca="1" si="41"/>
        <v/>
      </c>
      <c r="K87" s="17" t="str">
        <f t="shared" ca="1" si="42"/>
        <v/>
      </c>
      <c r="L87" s="17" t="str">
        <f t="shared" ca="1" si="43"/>
        <v/>
      </c>
      <c r="M87" s="21"/>
      <c r="N87" s="15" t="str">
        <f t="shared" si="44"/>
        <v/>
      </c>
      <c r="O87" s="19" t="str">
        <f t="shared" si="45"/>
        <v/>
      </c>
    </row>
    <row r="88" spans="2:15" x14ac:dyDescent="0.25">
      <c r="B88" s="14" t="str">
        <f t="shared" si="34"/>
        <v/>
      </c>
      <c r="C88" s="15"/>
      <c r="D88" s="15" t="str">
        <f t="shared" si="35"/>
        <v/>
      </c>
      <c r="E88" s="16" t="str">
        <f t="shared" si="36"/>
        <v/>
      </c>
      <c r="F88" s="16" t="str">
        <f t="shared" si="37"/>
        <v/>
      </c>
      <c r="G88" s="16" t="str">
        <f t="shared" si="38"/>
        <v/>
      </c>
      <c r="H88" s="16" t="str">
        <f t="shared" si="39"/>
        <v/>
      </c>
      <c r="I88" s="16" t="str">
        <f t="shared" si="40"/>
        <v/>
      </c>
      <c r="J88" s="17" t="str">
        <f t="shared" ca="1" si="41"/>
        <v/>
      </c>
      <c r="K88" s="17" t="str">
        <f t="shared" ca="1" si="42"/>
        <v/>
      </c>
      <c r="L88" s="17" t="str">
        <f t="shared" ca="1" si="43"/>
        <v/>
      </c>
      <c r="M88" s="21"/>
      <c r="N88" s="15" t="str">
        <f t="shared" si="44"/>
        <v/>
      </c>
      <c r="O88" s="19" t="str">
        <f t="shared" si="45"/>
        <v/>
      </c>
    </row>
    <row r="89" spans="2:15" x14ac:dyDescent="0.25">
      <c r="B89" s="14" t="str">
        <f t="shared" si="34"/>
        <v/>
      </c>
      <c r="C89" s="15"/>
      <c r="D89" s="15" t="str">
        <f t="shared" si="35"/>
        <v/>
      </c>
      <c r="E89" s="16" t="str">
        <f t="shared" si="36"/>
        <v/>
      </c>
      <c r="F89" s="16" t="str">
        <f t="shared" si="37"/>
        <v/>
      </c>
      <c r="G89" s="16" t="str">
        <f t="shared" si="38"/>
        <v/>
      </c>
      <c r="H89" s="16" t="str">
        <f t="shared" si="39"/>
        <v/>
      </c>
      <c r="I89" s="16" t="str">
        <f t="shared" si="40"/>
        <v/>
      </c>
      <c r="J89" s="17" t="str">
        <f t="shared" ca="1" si="41"/>
        <v/>
      </c>
      <c r="K89" s="17" t="str">
        <f t="shared" ca="1" si="42"/>
        <v/>
      </c>
      <c r="L89" s="17" t="str">
        <f t="shared" ca="1" si="43"/>
        <v/>
      </c>
      <c r="M89" s="21"/>
      <c r="N89" s="15" t="str">
        <f t="shared" si="44"/>
        <v/>
      </c>
      <c r="O89" s="19" t="str">
        <f t="shared" si="45"/>
        <v/>
      </c>
    </row>
    <row r="90" spans="2:15" x14ac:dyDescent="0.25">
      <c r="B90" s="14" t="str">
        <f t="shared" si="34"/>
        <v/>
      </c>
      <c r="C90" s="15"/>
      <c r="D90" s="15" t="str">
        <f t="shared" si="35"/>
        <v/>
      </c>
      <c r="E90" s="16" t="str">
        <f t="shared" si="36"/>
        <v/>
      </c>
      <c r="F90" s="16" t="str">
        <f t="shared" si="37"/>
        <v/>
      </c>
      <c r="G90" s="16" t="str">
        <f t="shared" si="38"/>
        <v/>
      </c>
      <c r="H90" s="16" t="str">
        <f t="shared" si="39"/>
        <v/>
      </c>
      <c r="I90" s="16" t="str">
        <f t="shared" si="40"/>
        <v/>
      </c>
      <c r="J90" s="17" t="str">
        <f t="shared" ca="1" si="41"/>
        <v/>
      </c>
      <c r="K90" s="17" t="str">
        <f t="shared" ca="1" si="42"/>
        <v/>
      </c>
      <c r="L90" s="17" t="str">
        <f t="shared" ca="1" si="43"/>
        <v/>
      </c>
      <c r="M90" s="21"/>
      <c r="N90" s="15" t="str">
        <f t="shared" si="44"/>
        <v/>
      </c>
      <c r="O90" s="19" t="str">
        <f t="shared" si="45"/>
        <v/>
      </c>
    </row>
    <row r="91" spans="2:15" x14ac:dyDescent="0.25">
      <c r="B91" s="14" t="str">
        <f t="shared" si="34"/>
        <v/>
      </c>
      <c r="C91" s="15"/>
      <c r="D91" s="15" t="str">
        <f t="shared" si="35"/>
        <v/>
      </c>
      <c r="E91" s="16" t="str">
        <f t="shared" si="36"/>
        <v/>
      </c>
      <c r="F91" s="16" t="str">
        <f t="shared" si="37"/>
        <v/>
      </c>
      <c r="G91" s="16" t="str">
        <f t="shared" si="38"/>
        <v/>
      </c>
      <c r="H91" s="16" t="str">
        <f t="shared" si="39"/>
        <v/>
      </c>
      <c r="I91" s="16" t="str">
        <f t="shared" si="40"/>
        <v/>
      </c>
      <c r="J91" s="17" t="str">
        <f t="shared" ca="1" si="41"/>
        <v/>
      </c>
      <c r="K91" s="17" t="str">
        <f t="shared" ca="1" si="42"/>
        <v/>
      </c>
      <c r="L91" s="17" t="str">
        <f t="shared" ca="1" si="43"/>
        <v/>
      </c>
      <c r="M91" s="21"/>
      <c r="N91" s="15" t="str">
        <f t="shared" si="44"/>
        <v/>
      </c>
      <c r="O91" s="19" t="str">
        <f t="shared" si="45"/>
        <v/>
      </c>
    </row>
    <row r="92" spans="2:15" x14ac:dyDescent="0.25">
      <c r="B92" s="14" t="str">
        <f t="shared" si="34"/>
        <v/>
      </c>
      <c r="C92" s="15"/>
      <c r="D92" s="15" t="str">
        <f t="shared" si="35"/>
        <v/>
      </c>
      <c r="E92" s="16" t="str">
        <f t="shared" si="36"/>
        <v/>
      </c>
      <c r="F92" s="16" t="str">
        <f t="shared" si="37"/>
        <v/>
      </c>
      <c r="G92" s="16" t="str">
        <f t="shared" si="38"/>
        <v/>
      </c>
      <c r="H92" s="16" t="str">
        <f t="shared" si="39"/>
        <v/>
      </c>
      <c r="I92" s="16" t="str">
        <f t="shared" si="40"/>
        <v/>
      </c>
      <c r="J92" s="17" t="str">
        <f t="shared" ca="1" si="41"/>
        <v/>
      </c>
      <c r="K92" s="17" t="str">
        <f t="shared" ca="1" si="42"/>
        <v/>
      </c>
      <c r="L92" s="17" t="str">
        <f t="shared" ca="1" si="43"/>
        <v/>
      </c>
      <c r="M92" s="21"/>
      <c r="N92" s="15" t="str">
        <f t="shared" si="44"/>
        <v/>
      </c>
      <c r="O92" s="19" t="str">
        <f t="shared" si="45"/>
        <v/>
      </c>
    </row>
    <row r="93" spans="2:15" x14ac:dyDescent="0.25">
      <c r="B93" s="14" t="str">
        <f t="shared" si="34"/>
        <v/>
      </c>
      <c r="C93" s="15"/>
      <c r="D93" s="15" t="str">
        <f t="shared" si="35"/>
        <v/>
      </c>
      <c r="E93" s="16" t="str">
        <f t="shared" si="36"/>
        <v/>
      </c>
      <c r="F93" s="16" t="str">
        <f t="shared" si="37"/>
        <v/>
      </c>
      <c r="G93" s="16" t="str">
        <f t="shared" si="38"/>
        <v/>
      </c>
      <c r="H93" s="16" t="str">
        <f t="shared" si="39"/>
        <v/>
      </c>
      <c r="I93" s="16" t="str">
        <f t="shared" si="40"/>
        <v/>
      </c>
      <c r="J93" s="17" t="str">
        <f t="shared" ca="1" si="41"/>
        <v/>
      </c>
      <c r="K93" s="17" t="str">
        <f t="shared" ca="1" si="42"/>
        <v/>
      </c>
      <c r="L93" s="17" t="str">
        <f t="shared" ca="1" si="43"/>
        <v/>
      </c>
      <c r="M93" s="21"/>
      <c r="N93" s="15" t="str">
        <f t="shared" si="44"/>
        <v/>
      </c>
      <c r="O93" s="19" t="str">
        <f t="shared" si="45"/>
        <v/>
      </c>
    </row>
    <row r="94" spans="2:15" x14ac:dyDescent="0.25">
      <c r="B94" s="14" t="str">
        <f t="shared" si="34"/>
        <v/>
      </c>
      <c r="C94" s="15"/>
      <c r="D94" s="15" t="str">
        <f t="shared" si="35"/>
        <v/>
      </c>
      <c r="E94" s="16" t="str">
        <f t="shared" si="36"/>
        <v/>
      </c>
      <c r="F94" s="16" t="str">
        <f t="shared" si="37"/>
        <v/>
      </c>
      <c r="G94" s="16" t="str">
        <f t="shared" si="38"/>
        <v/>
      </c>
      <c r="H94" s="16" t="str">
        <f t="shared" si="39"/>
        <v/>
      </c>
      <c r="I94" s="16" t="str">
        <f t="shared" si="40"/>
        <v/>
      </c>
      <c r="J94" s="17" t="str">
        <f t="shared" ca="1" si="41"/>
        <v/>
      </c>
      <c r="K94" s="17" t="str">
        <f t="shared" ca="1" si="42"/>
        <v/>
      </c>
      <c r="L94" s="17" t="str">
        <f t="shared" ca="1" si="43"/>
        <v/>
      </c>
      <c r="M94" s="21"/>
      <c r="N94" s="15" t="str">
        <f t="shared" si="44"/>
        <v/>
      </c>
      <c r="O94" s="19" t="str">
        <f t="shared" si="45"/>
        <v/>
      </c>
    </row>
    <row r="95" spans="2:15" x14ac:dyDescent="0.25">
      <c r="B95" s="14" t="str">
        <f t="shared" si="34"/>
        <v/>
      </c>
      <c r="C95" s="15"/>
      <c r="D95" s="15" t="str">
        <f t="shared" si="35"/>
        <v/>
      </c>
      <c r="E95" s="16" t="str">
        <f t="shared" si="36"/>
        <v/>
      </c>
      <c r="F95" s="16" t="str">
        <f t="shared" si="37"/>
        <v/>
      </c>
      <c r="G95" s="16" t="str">
        <f t="shared" si="38"/>
        <v/>
      </c>
      <c r="H95" s="16" t="str">
        <f t="shared" si="39"/>
        <v/>
      </c>
      <c r="I95" s="16" t="str">
        <f t="shared" si="40"/>
        <v/>
      </c>
      <c r="J95" s="17" t="str">
        <f t="shared" ca="1" si="41"/>
        <v/>
      </c>
      <c r="K95" s="17" t="str">
        <f t="shared" ca="1" si="42"/>
        <v/>
      </c>
      <c r="L95" s="17" t="str">
        <f t="shared" ca="1" si="43"/>
        <v/>
      </c>
      <c r="M95" s="21"/>
      <c r="N95" s="15" t="str">
        <f t="shared" si="44"/>
        <v/>
      </c>
      <c r="O95" s="19" t="str">
        <f t="shared" si="45"/>
        <v/>
      </c>
    </row>
    <row r="96" spans="2:15" x14ac:dyDescent="0.25">
      <c r="B96" s="14" t="str">
        <f t="shared" si="34"/>
        <v/>
      </c>
      <c r="C96" s="15"/>
      <c r="D96" s="15" t="str">
        <f t="shared" si="35"/>
        <v/>
      </c>
      <c r="E96" s="16" t="str">
        <f t="shared" si="36"/>
        <v/>
      </c>
      <c r="F96" s="16" t="str">
        <f t="shared" si="37"/>
        <v/>
      </c>
      <c r="G96" s="16" t="str">
        <f t="shared" si="38"/>
        <v/>
      </c>
      <c r="H96" s="16" t="str">
        <f t="shared" si="39"/>
        <v/>
      </c>
      <c r="I96" s="16" t="str">
        <f t="shared" si="40"/>
        <v/>
      </c>
      <c r="J96" s="17" t="str">
        <f t="shared" ca="1" si="41"/>
        <v/>
      </c>
      <c r="K96" s="17" t="str">
        <f t="shared" ca="1" si="42"/>
        <v/>
      </c>
      <c r="L96" s="17" t="str">
        <f t="shared" ca="1" si="43"/>
        <v/>
      </c>
      <c r="M96" s="21"/>
      <c r="N96" s="15" t="str">
        <f t="shared" si="44"/>
        <v/>
      </c>
      <c r="O96" s="19" t="str">
        <f t="shared" si="45"/>
        <v/>
      </c>
    </row>
    <row r="97" spans="2:15" x14ac:dyDescent="0.25">
      <c r="B97" s="14" t="str">
        <f t="shared" si="34"/>
        <v/>
      </c>
      <c r="C97" s="15"/>
      <c r="D97" s="15" t="str">
        <f t="shared" si="35"/>
        <v/>
      </c>
      <c r="E97" s="16" t="str">
        <f t="shared" si="36"/>
        <v/>
      </c>
      <c r="F97" s="16" t="str">
        <f t="shared" si="37"/>
        <v/>
      </c>
      <c r="G97" s="16" t="str">
        <f t="shared" si="38"/>
        <v/>
      </c>
      <c r="H97" s="16" t="str">
        <f t="shared" si="39"/>
        <v/>
      </c>
      <c r="I97" s="16" t="str">
        <f t="shared" si="40"/>
        <v/>
      </c>
      <c r="J97" s="17" t="str">
        <f t="shared" ca="1" si="41"/>
        <v/>
      </c>
      <c r="K97" s="17" t="str">
        <f t="shared" ca="1" si="42"/>
        <v/>
      </c>
      <c r="L97" s="17" t="str">
        <f t="shared" ca="1" si="43"/>
        <v/>
      </c>
      <c r="M97" s="21"/>
      <c r="N97" s="15" t="str">
        <f t="shared" si="44"/>
        <v/>
      </c>
      <c r="O97" s="19" t="str">
        <f t="shared" si="45"/>
        <v/>
      </c>
    </row>
    <row r="98" spans="2:15" x14ac:dyDescent="0.25">
      <c r="B98" s="14" t="str">
        <f t="shared" si="34"/>
        <v/>
      </c>
      <c r="C98" s="15"/>
      <c r="D98" s="15" t="str">
        <f t="shared" si="35"/>
        <v/>
      </c>
      <c r="E98" s="16" t="str">
        <f t="shared" si="36"/>
        <v/>
      </c>
      <c r="F98" s="16" t="str">
        <f t="shared" si="37"/>
        <v/>
      </c>
      <c r="G98" s="16" t="str">
        <f t="shared" si="38"/>
        <v/>
      </c>
      <c r="H98" s="16" t="str">
        <f t="shared" si="39"/>
        <v/>
      </c>
      <c r="I98" s="16" t="str">
        <f t="shared" si="40"/>
        <v/>
      </c>
      <c r="J98" s="17" t="str">
        <f t="shared" ca="1" si="41"/>
        <v/>
      </c>
      <c r="K98" s="17" t="str">
        <f t="shared" ca="1" si="42"/>
        <v/>
      </c>
      <c r="L98" s="17" t="str">
        <f t="shared" ca="1" si="43"/>
        <v/>
      </c>
      <c r="M98" s="21"/>
      <c r="N98" s="15" t="str">
        <f t="shared" si="44"/>
        <v/>
      </c>
      <c r="O98" s="19" t="str">
        <f t="shared" si="45"/>
        <v/>
      </c>
    </row>
    <row r="99" spans="2:15" x14ac:dyDescent="0.25">
      <c r="B99" s="14" t="str">
        <f t="shared" si="34"/>
        <v/>
      </c>
      <c r="C99" s="15"/>
      <c r="D99" s="15" t="str">
        <f t="shared" si="35"/>
        <v/>
      </c>
      <c r="E99" s="16" t="str">
        <f t="shared" si="36"/>
        <v/>
      </c>
      <c r="F99" s="16" t="str">
        <f t="shared" si="37"/>
        <v/>
      </c>
      <c r="G99" s="16" t="str">
        <f t="shared" si="38"/>
        <v/>
      </c>
      <c r="H99" s="16" t="str">
        <f t="shared" si="39"/>
        <v/>
      </c>
      <c r="I99" s="16" t="str">
        <f t="shared" si="40"/>
        <v/>
      </c>
      <c r="J99" s="17" t="str">
        <f t="shared" ca="1" si="41"/>
        <v/>
      </c>
      <c r="K99" s="17" t="str">
        <f t="shared" ca="1" si="42"/>
        <v/>
      </c>
      <c r="L99" s="17" t="str">
        <f t="shared" ca="1" si="43"/>
        <v/>
      </c>
      <c r="M99" s="21"/>
      <c r="N99" s="15" t="str">
        <f t="shared" si="44"/>
        <v/>
      </c>
      <c r="O99" s="19" t="str">
        <f t="shared" si="45"/>
        <v/>
      </c>
    </row>
    <row r="100" spans="2:15" x14ac:dyDescent="0.25">
      <c r="B100" s="14" t="str">
        <f t="shared" si="34"/>
        <v/>
      </c>
      <c r="C100" s="15"/>
      <c r="D100" s="15" t="str">
        <f t="shared" si="35"/>
        <v/>
      </c>
      <c r="E100" s="16" t="str">
        <f t="shared" si="36"/>
        <v/>
      </c>
      <c r="F100" s="16" t="str">
        <f t="shared" si="37"/>
        <v/>
      </c>
      <c r="G100" s="16" t="str">
        <f t="shared" si="38"/>
        <v/>
      </c>
      <c r="H100" s="16" t="str">
        <f t="shared" si="39"/>
        <v/>
      </c>
      <c r="I100" s="16" t="str">
        <f t="shared" si="40"/>
        <v/>
      </c>
      <c r="J100" s="17" t="str">
        <f t="shared" ca="1" si="41"/>
        <v/>
      </c>
      <c r="K100" s="17" t="str">
        <f t="shared" ca="1" si="42"/>
        <v/>
      </c>
      <c r="L100" s="17" t="str">
        <f t="shared" ca="1" si="43"/>
        <v/>
      </c>
      <c r="M100" s="21"/>
      <c r="N100" s="15" t="str">
        <f t="shared" si="44"/>
        <v/>
      </c>
      <c r="O100" s="19" t="str">
        <f t="shared" si="45"/>
        <v/>
      </c>
    </row>
    <row r="101" spans="2:15" x14ac:dyDescent="0.25">
      <c r="B101" s="14" t="str">
        <f t="shared" si="34"/>
        <v/>
      </c>
      <c r="C101" s="15"/>
      <c r="D101" s="15" t="str">
        <f t="shared" si="35"/>
        <v/>
      </c>
      <c r="E101" s="16" t="str">
        <f t="shared" si="36"/>
        <v/>
      </c>
      <c r="F101" s="16" t="str">
        <f t="shared" si="37"/>
        <v/>
      </c>
      <c r="G101" s="16" t="str">
        <f t="shared" si="38"/>
        <v/>
      </c>
      <c r="H101" s="16" t="str">
        <f t="shared" si="39"/>
        <v/>
      </c>
      <c r="I101" s="16" t="str">
        <f t="shared" si="40"/>
        <v/>
      </c>
      <c r="J101" s="17" t="str">
        <f t="shared" ca="1" si="41"/>
        <v/>
      </c>
      <c r="K101" s="17" t="str">
        <f t="shared" ca="1" si="42"/>
        <v/>
      </c>
      <c r="L101" s="17" t="str">
        <f t="shared" ca="1" si="43"/>
        <v/>
      </c>
      <c r="M101" s="21"/>
      <c r="N101" s="15" t="str">
        <f t="shared" si="44"/>
        <v/>
      </c>
      <c r="O101" s="19" t="str">
        <f t="shared" si="45"/>
        <v/>
      </c>
    </row>
    <row r="102" spans="2:15" x14ac:dyDescent="0.25">
      <c r="B102" s="14" t="str">
        <f t="shared" si="34"/>
        <v/>
      </c>
      <c r="C102" s="15"/>
      <c r="D102" s="15" t="str">
        <f t="shared" si="35"/>
        <v/>
      </c>
      <c r="E102" s="16" t="str">
        <f t="shared" si="36"/>
        <v/>
      </c>
      <c r="F102" s="16" t="str">
        <f t="shared" si="37"/>
        <v/>
      </c>
      <c r="G102" s="16" t="str">
        <f t="shared" si="38"/>
        <v/>
      </c>
      <c r="H102" s="16" t="str">
        <f t="shared" si="39"/>
        <v/>
      </c>
      <c r="I102" s="16" t="str">
        <f t="shared" si="40"/>
        <v/>
      </c>
      <c r="J102" s="17" t="str">
        <f t="shared" ca="1" si="41"/>
        <v/>
      </c>
      <c r="K102" s="17" t="str">
        <f t="shared" ca="1" si="42"/>
        <v/>
      </c>
      <c r="L102" s="17" t="str">
        <f t="shared" ca="1" si="43"/>
        <v/>
      </c>
      <c r="M102" s="21"/>
      <c r="N102" s="15" t="str">
        <f t="shared" si="44"/>
        <v/>
      </c>
      <c r="O102" s="19" t="str">
        <f t="shared" si="45"/>
        <v/>
      </c>
    </row>
    <row r="103" spans="2:15" x14ac:dyDescent="0.25">
      <c r="B103" s="14" t="str">
        <f t="shared" si="34"/>
        <v/>
      </c>
      <c r="C103" s="15"/>
      <c r="D103" s="15" t="str">
        <f t="shared" si="35"/>
        <v/>
      </c>
      <c r="E103" s="16" t="str">
        <f t="shared" si="36"/>
        <v/>
      </c>
      <c r="F103" s="16" t="str">
        <f t="shared" si="37"/>
        <v/>
      </c>
      <c r="G103" s="16" t="str">
        <f t="shared" si="38"/>
        <v/>
      </c>
      <c r="H103" s="16" t="str">
        <f t="shared" si="39"/>
        <v/>
      </c>
      <c r="I103" s="16" t="str">
        <f t="shared" si="40"/>
        <v/>
      </c>
      <c r="J103" s="17" t="str">
        <f t="shared" ca="1" si="41"/>
        <v/>
      </c>
      <c r="K103" s="17" t="str">
        <f t="shared" ca="1" si="42"/>
        <v/>
      </c>
      <c r="L103" s="17" t="str">
        <f t="shared" ca="1" si="43"/>
        <v/>
      </c>
      <c r="M103" s="21"/>
      <c r="N103" s="15" t="str">
        <f t="shared" si="44"/>
        <v/>
      </c>
      <c r="O103" s="19" t="str">
        <f t="shared" si="45"/>
        <v/>
      </c>
    </row>
    <row r="104" spans="2:15" x14ac:dyDescent="0.25">
      <c r="B104" s="14" t="str">
        <f t="shared" si="34"/>
        <v/>
      </c>
      <c r="C104" s="15"/>
      <c r="D104" s="15" t="str">
        <f t="shared" si="35"/>
        <v/>
      </c>
      <c r="E104" s="16" t="str">
        <f t="shared" si="36"/>
        <v/>
      </c>
      <c r="F104" s="16" t="str">
        <f t="shared" si="37"/>
        <v/>
      </c>
      <c r="G104" s="16" t="str">
        <f t="shared" si="38"/>
        <v/>
      </c>
      <c r="H104" s="16" t="str">
        <f t="shared" si="39"/>
        <v/>
      </c>
      <c r="I104" s="16" t="str">
        <f t="shared" si="40"/>
        <v/>
      </c>
      <c r="J104" s="17" t="str">
        <f t="shared" ca="1" si="41"/>
        <v/>
      </c>
      <c r="K104" s="17" t="str">
        <f t="shared" ca="1" si="42"/>
        <v/>
      </c>
      <c r="L104" s="17" t="str">
        <f t="shared" ca="1" si="43"/>
        <v/>
      </c>
      <c r="M104" s="21"/>
      <c r="N104" s="15" t="str">
        <f t="shared" si="44"/>
        <v/>
      </c>
      <c r="O104" s="19" t="str">
        <f t="shared" si="45"/>
        <v/>
      </c>
    </row>
    <row r="105" spans="2:15" x14ac:dyDescent="0.25">
      <c r="B105" s="14" t="str">
        <f t="shared" si="34"/>
        <v/>
      </c>
      <c r="C105" s="15"/>
      <c r="D105" s="15" t="str">
        <f t="shared" si="35"/>
        <v/>
      </c>
      <c r="E105" s="16" t="str">
        <f t="shared" si="36"/>
        <v/>
      </c>
      <c r="F105" s="16" t="str">
        <f t="shared" si="37"/>
        <v/>
      </c>
      <c r="G105" s="16" t="str">
        <f t="shared" si="38"/>
        <v/>
      </c>
      <c r="H105" s="16" t="str">
        <f t="shared" si="39"/>
        <v/>
      </c>
      <c r="I105" s="16" t="str">
        <f t="shared" si="40"/>
        <v/>
      </c>
      <c r="J105" s="17" t="str">
        <f t="shared" ca="1" si="41"/>
        <v/>
      </c>
      <c r="K105" s="17" t="str">
        <f t="shared" ca="1" si="42"/>
        <v/>
      </c>
      <c r="L105" s="17" t="str">
        <f t="shared" ca="1" si="43"/>
        <v/>
      </c>
      <c r="M105" s="21"/>
      <c r="N105" s="15" t="str">
        <f t="shared" si="44"/>
        <v/>
      </c>
      <c r="O105" s="19" t="str">
        <f t="shared" si="45"/>
        <v/>
      </c>
    </row>
    <row r="106" spans="2:15" x14ac:dyDescent="0.25">
      <c r="B106" s="14" t="str">
        <f t="shared" si="34"/>
        <v/>
      </c>
      <c r="C106" s="15"/>
      <c r="D106" s="15" t="str">
        <f t="shared" si="35"/>
        <v/>
      </c>
      <c r="E106" s="16" t="str">
        <f t="shared" si="36"/>
        <v/>
      </c>
      <c r="F106" s="16" t="str">
        <f t="shared" si="37"/>
        <v/>
      </c>
      <c r="G106" s="16" t="str">
        <f t="shared" si="38"/>
        <v/>
      </c>
      <c r="H106" s="16" t="str">
        <f t="shared" si="39"/>
        <v/>
      </c>
      <c r="I106" s="16" t="str">
        <f t="shared" si="40"/>
        <v/>
      </c>
      <c r="J106" s="17" t="str">
        <f t="shared" ca="1" si="41"/>
        <v/>
      </c>
      <c r="K106" s="17" t="str">
        <f t="shared" ca="1" si="42"/>
        <v/>
      </c>
      <c r="L106" s="17" t="str">
        <f t="shared" ca="1" si="43"/>
        <v/>
      </c>
      <c r="M106" s="21"/>
      <c r="N106" s="15" t="str">
        <f t="shared" si="44"/>
        <v/>
      </c>
      <c r="O106" s="19" t="str">
        <f t="shared" si="45"/>
        <v/>
      </c>
    </row>
    <row r="107" spans="2:15" x14ac:dyDescent="0.25">
      <c r="B107" s="14" t="str">
        <f t="shared" si="34"/>
        <v/>
      </c>
      <c r="C107" s="15"/>
      <c r="D107" s="15" t="str">
        <f t="shared" si="35"/>
        <v/>
      </c>
      <c r="E107" s="16" t="str">
        <f t="shared" si="36"/>
        <v/>
      </c>
      <c r="F107" s="16" t="str">
        <f t="shared" si="37"/>
        <v/>
      </c>
      <c r="G107" s="16" t="str">
        <f t="shared" si="38"/>
        <v/>
      </c>
      <c r="H107" s="16" t="str">
        <f t="shared" si="39"/>
        <v/>
      </c>
      <c r="I107" s="16" t="str">
        <f t="shared" si="40"/>
        <v/>
      </c>
      <c r="J107" s="17" t="str">
        <f t="shared" ca="1" si="41"/>
        <v/>
      </c>
      <c r="K107" s="17" t="str">
        <f t="shared" ca="1" si="42"/>
        <v/>
      </c>
      <c r="L107" s="17" t="str">
        <f t="shared" ca="1" si="43"/>
        <v/>
      </c>
      <c r="M107" s="21"/>
      <c r="N107" s="15" t="str">
        <f t="shared" si="44"/>
        <v/>
      </c>
      <c r="O107" s="19" t="str">
        <f t="shared" si="45"/>
        <v/>
      </c>
    </row>
    <row r="108" spans="2:15" x14ac:dyDescent="0.25">
      <c r="B108" s="14" t="str">
        <f t="shared" si="34"/>
        <v/>
      </c>
      <c r="C108" s="15"/>
      <c r="D108" s="15" t="str">
        <f t="shared" si="35"/>
        <v/>
      </c>
      <c r="E108" s="16" t="str">
        <f t="shared" si="36"/>
        <v/>
      </c>
      <c r="F108" s="16" t="str">
        <f t="shared" si="37"/>
        <v/>
      </c>
      <c r="G108" s="16" t="str">
        <f t="shared" si="38"/>
        <v/>
      </c>
      <c r="H108" s="16" t="str">
        <f t="shared" si="39"/>
        <v/>
      </c>
      <c r="I108" s="16" t="str">
        <f t="shared" si="40"/>
        <v/>
      </c>
      <c r="J108" s="17" t="str">
        <f t="shared" ca="1" si="41"/>
        <v/>
      </c>
      <c r="K108" s="17" t="str">
        <f t="shared" ca="1" si="42"/>
        <v/>
      </c>
      <c r="L108" s="17" t="str">
        <f t="shared" ca="1" si="43"/>
        <v/>
      </c>
      <c r="M108" s="21"/>
      <c r="N108" s="15" t="str">
        <f t="shared" si="44"/>
        <v/>
      </c>
      <c r="O108" s="19" t="str">
        <f t="shared" si="45"/>
        <v/>
      </c>
    </row>
    <row r="109" spans="2:15" x14ac:dyDescent="0.25">
      <c r="B109" s="14" t="str">
        <f t="shared" si="34"/>
        <v/>
      </c>
      <c r="C109" s="15"/>
      <c r="D109" s="15" t="str">
        <f t="shared" ref="D109:D140" si="46">IF(ROW()&gt;steps+10,"",gethexcolor(C109))</f>
        <v/>
      </c>
      <c r="E109" s="16" t="str">
        <f t="shared" ref="E109:E140" si="47">IF(ROW()&gt;steps+10,"",HEX2DEC(LEFT(D109,2)))</f>
        <v/>
      </c>
      <c r="F109" s="16" t="str">
        <f t="shared" si="37"/>
        <v/>
      </c>
      <c r="G109" s="16" t="str">
        <f t="shared" si="38"/>
        <v/>
      </c>
      <c r="H109" s="16" t="str">
        <f t="shared" si="39"/>
        <v/>
      </c>
      <c r="I109" s="16" t="str">
        <f t="shared" si="40"/>
        <v/>
      </c>
      <c r="J109" s="17" t="str">
        <f t="shared" ca="1" si="41"/>
        <v/>
      </c>
      <c r="K109" s="17" t="str">
        <f t="shared" ca="1" si="42"/>
        <v/>
      </c>
      <c r="L109" s="17" t="str">
        <f t="shared" ca="1" si="43"/>
        <v/>
      </c>
      <c r="M109" s="21"/>
      <c r="N109" s="15" t="str">
        <f t="shared" ref="N109:N140" si="48">IF(ROW()&gt;steps+10,"",getnewcolor(M109))</f>
        <v/>
      </c>
      <c r="O109" s="19" t="str">
        <f t="shared" si="45"/>
        <v/>
      </c>
    </row>
    <row r="110" spans="2:15" ht="15.75" thickBot="1" x14ac:dyDescent="0.3">
      <c r="B110" s="72" t="str">
        <f t="shared" si="34"/>
        <v/>
      </c>
      <c r="C110" s="79"/>
      <c r="D110" s="73" t="str">
        <f t="shared" si="46"/>
        <v/>
      </c>
      <c r="E110" s="75" t="str">
        <f t="shared" si="47"/>
        <v/>
      </c>
      <c r="F110" s="75" t="str">
        <f t="shared" si="37"/>
        <v/>
      </c>
      <c r="G110" s="75" t="str">
        <f t="shared" si="38"/>
        <v/>
      </c>
      <c r="H110" s="75" t="str">
        <f t="shared" si="39"/>
        <v/>
      </c>
      <c r="I110" s="75" t="str">
        <f t="shared" si="40"/>
        <v/>
      </c>
      <c r="J110" s="76" t="str">
        <f t="shared" ca="1" si="41"/>
        <v/>
      </c>
      <c r="K110" s="76" t="str">
        <f t="shared" ca="1" si="42"/>
        <v/>
      </c>
      <c r="L110" s="76" t="str">
        <f t="shared" ca="1" si="43"/>
        <v/>
      </c>
      <c r="M110" s="79"/>
      <c r="N110" s="73" t="str">
        <f t="shared" si="48"/>
        <v/>
      </c>
      <c r="O110" s="74" t="str">
        <f t="shared" si="45"/>
        <v/>
      </c>
    </row>
  </sheetData>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moveWithCells="1">
              <from>
                <xdr:col>4</xdr:col>
                <xdr:colOff>400050</xdr:colOff>
                <xdr:row>1</xdr:row>
                <xdr:rowOff>85725</xdr:rowOff>
              </from>
              <to>
                <xdr:col>8</xdr:col>
                <xdr:colOff>161925</xdr:colOff>
                <xdr:row>4</xdr:row>
                <xdr:rowOff>180975</xdr:rowOff>
              </to>
            </anchor>
          </controlPr>
        </control>
      </mc:Choice>
      <mc:Fallback>
        <control shapeId="2049"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Instructions</vt:lpstr>
      <vt:lpstr>3 Color Scale</vt:lpstr>
      <vt:lpstr>col</vt:lpstr>
      <vt:lpstr>range</vt:lpstr>
      <vt:lpstr>RColorVectorCode</vt:lpstr>
      <vt:lpstr>steps</vt:lpstr>
    </vt:vector>
  </TitlesOfParts>
  <Company>The Hanover Insurance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mgn123</dc:creator>
  <cp:lastModifiedBy>Mike Nute</cp:lastModifiedBy>
  <dcterms:created xsi:type="dcterms:W3CDTF">2011-11-14T16:02:00Z</dcterms:created>
  <dcterms:modified xsi:type="dcterms:W3CDTF">2014-01-30T04:41:29Z</dcterms:modified>
</cp:coreProperties>
</file>